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lix\Semester4\Citra\Citra\Pertemuan\"/>
    </mc:Choice>
  </mc:AlternateContent>
  <xr:revisionPtr revIDLastSave="0" documentId="13_ncr:1_{07286203-D4BB-4993-9A8C-26B12340102B}" xr6:coauthVersionLast="47" xr6:coauthVersionMax="47" xr10:uidLastSave="{00000000-0000-0000-0000-000000000000}"/>
  <bookViews>
    <workbookView xWindow="-108" yWindow="-108" windowWidth="23256" windowHeight="12456" xr2:uid="{473EDECC-7E5E-4EED-9720-EF3DA8728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W18" i="1" s="1"/>
  <c r="H19" i="1"/>
  <c r="W19" i="1" s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X53" i="1" s="1"/>
  <c r="V52" i="1"/>
  <c r="U52" i="1"/>
  <c r="T52" i="1"/>
  <c r="S52" i="1"/>
  <c r="R52" i="1"/>
  <c r="Q52" i="1"/>
  <c r="P52" i="1"/>
  <c r="O52" i="1"/>
  <c r="N52" i="1"/>
  <c r="M52" i="1"/>
  <c r="L52" i="1"/>
  <c r="K52" i="1"/>
  <c r="X52" i="1" s="1"/>
  <c r="J52" i="1"/>
  <c r="I52" i="1"/>
  <c r="H52" i="1"/>
  <c r="G52" i="1"/>
  <c r="F52" i="1"/>
  <c r="E52" i="1"/>
  <c r="D52" i="1"/>
  <c r="C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X51" i="1" s="1"/>
  <c r="H51" i="1"/>
  <c r="G51" i="1"/>
  <c r="F51" i="1"/>
  <c r="E51" i="1"/>
  <c r="D51" i="1"/>
  <c r="C51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W50" i="1" s="1"/>
  <c r="F50" i="1"/>
  <c r="E50" i="1"/>
  <c r="D50" i="1"/>
  <c r="C50" i="1"/>
  <c r="X50" i="1" s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W49" i="1" s="1"/>
  <c r="D49" i="1"/>
  <c r="C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X48" i="1" s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X47" i="1" s="1"/>
  <c r="V46" i="1"/>
  <c r="U46" i="1"/>
  <c r="T46" i="1"/>
  <c r="S46" i="1"/>
  <c r="R46" i="1"/>
  <c r="Q46" i="1"/>
  <c r="P46" i="1"/>
  <c r="O46" i="1"/>
  <c r="N46" i="1"/>
  <c r="M46" i="1"/>
  <c r="L46" i="1"/>
  <c r="K46" i="1"/>
  <c r="X46" i="1" s="1"/>
  <c r="J46" i="1"/>
  <c r="I46" i="1"/>
  <c r="H46" i="1"/>
  <c r="G46" i="1"/>
  <c r="F46" i="1"/>
  <c r="E46" i="1"/>
  <c r="D46" i="1"/>
  <c r="C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X45" i="1" s="1"/>
  <c r="H45" i="1"/>
  <c r="G45" i="1"/>
  <c r="F45" i="1"/>
  <c r="E45" i="1"/>
  <c r="D45" i="1"/>
  <c r="C45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W44" i="1" s="1"/>
  <c r="F44" i="1"/>
  <c r="E44" i="1"/>
  <c r="D44" i="1"/>
  <c r="C44" i="1"/>
  <c r="X44" i="1" s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W43" i="1" s="1"/>
  <c r="D43" i="1"/>
  <c r="C43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X42" i="1" s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X41" i="1" s="1"/>
  <c r="V40" i="1"/>
  <c r="U40" i="1"/>
  <c r="T40" i="1"/>
  <c r="S40" i="1"/>
  <c r="R40" i="1"/>
  <c r="Q40" i="1"/>
  <c r="P40" i="1"/>
  <c r="O40" i="1"/>
  <c r="N40" i="1"/>
  <c r="M40" i="1"/>
  <c r="L40" i="1"/>
  <c r="K40" i="1"/>
  <c r="X40" i="1" s="1"/>
  <c r="J40" i="1"/>
  <c r="I40" i="1"/>
  <c r="H40" i="1"/>
  <c r="G40" i="1"/>
  <c r="F40" i="1"/>
  <c r="E40" i="1"/>
  <c r="D40" i="1"/>
  <c r="C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X39" i="1" s="1"/>
  <c r="H39" i="1"/>
  <c r="G39" i="1"/>
  <c r="F39" i="1"/>
  <c r="E39" i="1"/>
  <c r="D39" i="1"/>
  <c r="C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W38" i="1" s="1"/>
  <c r="F38" i="1"/>
  <c r="E38" i="1"/>
  <c r="D38" i="1"/>
  <c r="C38" i="1"/>
  <c r="X38" i="1" s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W37" i="1" s="1"/>
  <c r="D37" i="1"/>
  <c r="C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X36" i="1" s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X35" i="1" s="1"/>
  <c r="V34" i="1"/>
  <c r="U34" i="1"/>
  <c r="T34" i="1"/>
  <c r="S34" i="1"/>
  <c r="R34" i="1"/>
  <c r="Q34" i="1"/>
  <c r="P34" i="1"/>
  <c r="O34" i="1"/>
  <c r="N34" i="1"/>
  <c r="M34" i="1"/>
  <c r="L34" i="1"/>
  <c r="K34" i="1"/>
  <c r="X34" i="1" s="1"/>
  <c r="J34" i="1"/>
  <c r="I34" i="1"/>
  <c r="H34" i="1"/>
  <c r="G34" i="1"/>
  <c r="F34" i="1"/>
  <c r="E34" i="1"/>
  <c r="D34" i="1"/>
  <c r="C34" i="1"/>
  <c r="W7" i="1"/>
  <c r="W8" i="1"/>
  <c r="W9" i="1"/>
  <c r="W10" i="1"/>
  <c r="W11" i="1"/>
  <c r="W12" i="1"/>
  <c r="W13" i="1"/>
  <c r="W14" i="1"/>
  <c r="W15" i="1"/>
  <c r="W16" i="1"/>
  <c r="W17" i="1"/>
  <c r="W20" i="1"/>
  <c r="W21" i="1"/>
  <c r="W22" i="1"/>
  <c r="W23" i="1"/>
  <c r="W24" i="1"/>
  <c r="W25" i="1"/>
  <c r="X7" i="1"/>
  <c r="X8" i="1"/>
  <c r="X9" i="1"/>
  <c r="X10" i="1"/>
  <c r="X11" i="1"/>
  <c r="X12" i="1"/>
  <c r="X13" i="1"/>
  <c r="X14" i="1"/>
  <c r="X15" i="1"/>
  <c r="X16" i="1"/>
  <c r="X17" i="1"/>
  <c r="X20" i="1"/>
  <c r="X21" i="1"/>
  <c r="X22" i="1"/>
  <c r="X23" i="1"/>
  <c r="X24" i="1"/>
  <c r="X25" i="1"/>
  <c r="X6" i="1"/>
  <c r="W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G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G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D6" i="1"/>
  <c r="E6" i="1"/>
  <c r="F6" i="1"/>
  <c r="G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6" i="1"/>
  <c r="X19" i="1" l="1"/>
  <c r="X18" i="1"/>
  <c r="W34" i="1"/>
  <c r="W46" i="1"/>
  <c r="W51" i="1"/>
  <c r="W52" i="1"/>
  <c r="X37" i="1"/>
  <c r="X43" i="1"/>
  <c r="W36" i="1"/>
  <c r="W42" i="1"/>
  <c r="W48" i="1"/>
  <c r="W39" i="1"/>
  <c r="X49" i="1"/>
  <c r="W35" i="1"/>
  <c r="W41" i="1"/>
  <c r="W47" i="1"/>
  <c r="W53" i="1"/>
  <c r="W40" i="1"/>
  <c r="W45" i="1"/>
</calcChain>
</file>

<file path=xl/sharedStrings.xml><?xml version="1.0" encoding="utf-8"?>
<sst xmlns="http://schemas.openxmlformats.org/spreadsheetml/2006/main" count="10" uniqueCount="5">
  <si>
    <t>idx_f</t>
  </si>
  <si>
    <t>f</t>
  </si>
  <si>
    <t>F</t>
  </si>
  <si>
    <t>Real</t>
  </si>
  <si>
    <t>Imagenary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</si>
</sst>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164" fontId="0" fillId="5" borderId="1" xfId="0" applyNumberFormat="1" applyFill="1" applyBorder="1"/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E603-B662-47B6-96C0-81E6BEE9060A}">
  <dimension ref="B4:Y53"/>
  <sheetViews>
    <sheetView tabSelected="1" topLeftCell="N1" zoomScale="78" zoomScaleNormal="85" workbookViewId="0">
      <selection activeCell="Z21" sqref="Z21"/>
    </sheetView>
  </sheetViews>
  <sheetFormatPr defaultRowHeight="14.4" x14ac:dyDescent="0.3"/>
  <cols>
    <col min="3" max="3" width="9.77734375" bestFit="1" customWidth="1"/>
    <col min="4" max="4" width="16.33203125" customWidth="1"/>
    <col min="5" max="5" width="18" customWidth="1"/>
    <col min="6" max="6" width="37.44140625" bestFit="1" customWidth="1"/>
    <col min="7" max="7" width="36.33203125" bestFit="1" customWidth="1"/>
    <col min="8" max="8" width="19.77734375" customWidth="1"/>
    <col min="9" max="9" width="16.88671875" customWidth="1"/>
    <col min="10" max="10" width="16" customWidth="1"/>
    <col min="11" max="11" width="13.77734375" customWidth="1"/>
    <col min="12" max="12" width="16.44140625" customWidth="1"/>
    <col min="13" max="13" width="20.33203125" customWidth="1"/>
    <col min="14" max="14" width="23.33203125" customWidth="1"/>
    <col min="15" max="15" width="16.77734375" customWidth="1"/>
    <col min="16" max="16" width="16.33203125" customWidth="1"/>
    <col min="17" max="17" width="13.6640625" customWidth="1"/>
    <col min="18" max="18" width="17.44140625" customWidth="1"/>
    <col min="19" max="19" width="10" customWidth="1"/>
    <col min="20" max="20" width="9.44140625" customWidth="1"/>
    <col min="21" max="21" width="15.109375" customWidth="1"/>
    <col min="22" max="22" width="39.88671875" bestFit="1" customWidth="1"/>
    <col min="23" max="24" width="25.44140625" bestFit="1" customWidth="1"/>
  </cols>
  <sheetData>
    <row r="4" spans="2:25" x14ac:dyDescent="0.3">
      <c r="B4" s="3" t="s">
        <v>0</v>
      </c>
      <c r="C4" s="3">
        <v>0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11" t="s">
        <v>2</v>
      </c>
      <c r="X4" s="11"/>
    </row>
    <row r="5" spans="2:25" x14ac:dyDescent="0.3">
      <c r="B5" s="4" t="s">
        <v>1</v>
      </c>
      <c r="C5" s="8">
        <v>13</v>
      </c>
      <c r="D5" s="8">
        <v>16.883600000000001</v>
      </c>
      <c r="E5" s="8">
        <v>-9.57958</v>
      </c>
      <c r="F5" s="8">
        <v>-14.987428430838399</v>
      </c>
      <c r="G5" s="8">
        <v>7.9377754883177003</v>
      </c>
      <c r="H5" s="8">
        <v>11</v>
      </c>
      <c r="I5" s="8">
        <v>-5.9377754883177198</v>
      </c>
      <c r="J5" s="8">
        <v>-3.0125715691616302</v>
      </c>
      <c r="K5" s="8">
        <v>11.5795771255969</v>
      </c>
      <c r="L5" s="8">
        <v>5.1163633588766499</v>
      </c>
      <c r="M5" s="8">
        <v>-11</v>
      </c>
      <c r="N5" s="8">
        <v>-7.8186453772164599</v>
      </c>
      <c r="O5" s="8">
        <v>8.8925588294027307</v>
      </c>
      <c r="P5" s="8">
        <v>12.6210236995228</v>
      </c>
      <c r="Q5" s="8">
        <v>-1.5900885566827401</v>
      </c>
      <c r="R5" s="8">
        <v>-9</v>
      </c>
      <c r="S5" s="8">
        <v>3.5900885566827099</v>
      </c>
      <c r="T5" s="8">
        <v>9.3789763004771096</v>
      </c>
      <c r="U5" s="8">
        <v>-6.8925588294026996</v>
      </c>
      <c r="V5" s="8">
        <v>-10.1813546227835</v>
      </c>
      <c r="W5" s="9" t="s">
        <v>3</v>
      </c>
      <c r="X5" s="10" t="s">
        <v>4</v>
      </c>
    </row>
    <row r="6" spans="2:25" x14ac:dyDescent="0.3">
      <c r="B6" s="4">
        <v>0</v>
      </c>
      <c r="C6" s="8" t="str">
        <f>IMPRODUCT(C$5,IMEXP(COMPLEX(0,-2*PI()*$B6*C$4/10)))</f>
        <v>13</v>
      </c>
      <c r="D6" s="8" t="str">
        <f t="shared" ref="D6:V21" si="0">IMPRODUCT(D$5,IMEXP(COMPLEX(0,-2*PI()*$B6*D$4/10)))</f>
        <v>16,8836</v>
      </c>
      <c r="E6" s="8" t="str">
        <f t="shared" si="0"/>
        <v>-9,57958</v>
      </c>
      <c r="F6" s="8" t="str">
        <f t="shared" si="0"/>
        <v>-14,9874284308384</v>
      </c>
      <c r="G6" s="8" t="str">
        <f t="shared" si="0"/>
        <v>7,9377754883177</v>
      </c>
      <c r="H6" s="8" t="str">
        <f t="shared" si="0"/>
        <v>11</v>
      </c>
      <c r="I6" s="8" t="str">
        <f t="shared" si="0"/>
        <v>-5,93777548831772</v>
      </c>
      <c r="J6" s="8" t="str">
        <f t="shared" si="0"/>
        <v>-3,01257156916163</v>
      </c>
      <c r="K6" s="8" t="str">
        <f t="shared" si="0"/>
        <v>11,5795771255969</v>
      </c>
      <c r="L6" s="8" t="str">
        <f t="shared" si="0"/>
        <v>5,11636335887665</v>
      </c>
      <c r="M6" s="8" t="str">
        <f t="shared" si="0"/>
        <v>-11</v>
      </c>
      <c r="N6" s="8" t="str">
        <f t="shared" si="0"/>
        <v>-7,81864537721646</v>
      </c>
      <c r="O6" s="8" t="str">
        <f t="shared" si="0"/>
        <v>8,89255882940273</v>
      </c>
      <c r="P6" s="8" t="str">
        <f t="shared" si="0"/>
        <v>12,6210236995228</v>
      </c>
      <c r="Q6" s="8" t="str">
        <f t="shared" si="0"/>
        <v>-1,59008855668274</v>
      </c>
      <c r="R6" s="8" t="str">
        <f t="shared" si="0"/>
        <v>-9</v>
      </c>
      <c r="S6" s="8" t="str">
        <f t="shared" si="0"/>
        <v>3,59008855668271</v>
      </c>
      <c r="T6" s="8" t="str">
        <f t="shared" si="0"/>
        <v>9,37897630047711</v>
      </c>
      <c r="U6" s="8" t="str">
        <f t="shared" si="0"/>
        <v>-6,8925588294027</v>
      </c>
      <c r="V6" s="8" t="str">
        <f t="shared" si="0"/>
        <v>-10,1813546227835</v>
      </c>
      <c r="W6" s="8">
        <f>IMREAL(IMSUM(C6:V6))</f>
        <v>19.999960484473501</v>
      </c>
      <c r="X6" s="8">
        <f>IMAGINARY(IMSUM(C6:V6))</f>
        <v>0</v>
      </c>
      <c r="Y6" s="1"/>
    </row>
    <row r="7" spans="2:25" x14ac:dyDescent="0.3">
      <c r="B7" s="4">
        <v>1</v>
      </c>
      <c r="C7" s="8" t="str">
        <f t="shared" ref="C7:F25" si="1">IMPRODUCT(C$5,IMEXP(COMPLEX(0,-2*PI()*$B7*C$4/10)))</f>
        <v>13</v>
      </c>
      <c r="D7" s="8" t="str">
        <f t="shared" si="1"/>
        <v>13,6591193262289-9,9239310856052i</v>
      </c>
      <c r="E7" s="8" t="str">
        <f t="shared" si="1"/>
        <v>-2,96025301897434+9,11072198237073i</v>
      </c>
      <c r="F7" s="8" t="str">
        <f t="shared" si="1"/>
        <v>4,63137008710737+14,2538914716561i</v>
      </c>
      <c r="G7" s="8" t="str">
        <f t="shared" si="0"/>
        <v>-6,4217952675819-4,66570736804186i</v>
      </c>
      <c r="H7" s="8" t="str">
        <f t="shared" si="0"/>
        <v>-11-3,55425324588543E-14i</v>
      </c>
      <c r="I7" s="8" t="str">
        <f t="shared" si="0"/>
        <v>4,80376127883205-3,49013686345689i</v>
      </c>
      <c r="J7" s="8" t="str">
        <f t="shared" si="0"/>
        <v>0,930935811641748-2,86512582165669i</v>
      </c>
      <c r="K7" s="8" t="str">
        <f t="shared" si="0"/>
        <v>3,57828611948485+11,0128322812412i</v>
      </c>
      <c r="L7" s="8" t="str">
        <f t="shared" si="0"/>
        <v>4,13922490672851+3,00732292771727i</v>
      </c>
      <c r="M7" s="8" t="str">
        <f t="shared" si="0"/>
        <v>-11+3,63845238660066E-14i</v>
      </c>
      <c r="N7" s="8" t="str">
        <f t="shared" si="0"/>
        <v>-6,32541698315926+4,59568444563252i</v>
      </c>
      <c r="O7" s="8" t="str">
        <f t="shared" si="0"/>
        <v>2,74795180176446-8,45732602124145i</v>
      </c>
      <c r="P7" s="8" t="str">
        <f t="shared" si="0"/>
        <v>-3,90011080956148-12,0033068317467i</v>
      </c>
      <c r="Q7" s="8" t="str">
        <f t="shared" si="0"/>
        <v>1,28640866491747+0,934630603457139i</v>
      </c>
      <c r="R7" s="8" t="str">
        <f t="shared" si="0"/>
        <v>9+3,30790082825327E-15i</v>
      </c>
      <c r="S7" s="8" t="str">
        <f t="shared" si="0"/>
        <v>-2,90444265366742+2,11020110804196i</v>
      </c>
      <c r="T7" s="8" t="str">
        <f t="shared" si="0"/>
        <v>-2,89826306668727+8,91993652674658i</v>
      </c>
      <c r="U7" s="8" t="str">
        <f t="shared" si="0"/>
        <v>-2,12991781301481-6,55521298865104i</v>
      </c>
      <c r="V7" s="8" t="str">
        <f t="shared" si="0"/>
        <v>-8,2368889155897-5,98445009563206i</v>
      </c>
      <c r="W7" s="8">
        <f t="shared" ref="W7:W25" si="2">IMREAL(IMSUM(C7:V7))</f>
        <v>-3.0531530816446702E-5</v>
      </c>
      <c r="X7" s="8">
        <f t="shared" ref="X7:X25" si="3">IMAGINARY(IMSUM(C7:V7))</f>
        <v>2.4270831612938099E-5</v>
      </c>
      <c r="Y7" s="1"/>
    </row>
    <row r="8" spans="2:25" x14ac:dyDescent="0.3">
      <c r="B8" s="4">
        <v>2</v>
      </c>
      <c r="C8" s="8" t="str">
        <f t="shared" si="1"/>
        <v>13</v>
      </c>
      <c r="D8" s="8" t="str">
        <f t="shared" si="1"/>
        <v>5,21731932622882-16,0572577985209i</v>
      </c>
      <c r="E8" s="8" t="str">
        <f t="shared" si="1"/>
        <v>7,75004301897434+5,63073584715597i</v>
      </c>
      <c r="F8" s="8" t="str">
        <f t="shared" si="1"/>
        <v>12,1250843025265-8,80938940143572i</v>
      </c>
      <c r="G8" s="8" t="str">
        <f t="shared" si="0"/>
        <v>2,45290752342307+7,54927310305249i</v>
      </c>
      <c r="H8" s="8" t="str">
        <f t="shared" si="0"/>
        <v>11-3,63845238660066E-14i</v>
      </c>
      <c r="I8" s="8" t="str">
        <f t="shared" si="0"/>
        <v>-1,8348735346732+5,6471600704622i</v>
      </c>
      <c r="J8" s="8" t="str">
        <f t="shared" si="0"/>
        <v>2,43722159622256+1,7707451398288i</v>
      </c>
      <c r="K8" s="8" t="str">
        <f t="shared" si="0"/>
        <v>-9,36807468228356+6,80630466220878i</v>
      </c>
      <c r="L8" s="8" t="str">
        <f t="shared" si="0"/>
        <v>1,58104322729039+4,86595071219333i</v>
      </c>
      <c r="M8" s="8" t="str">
        <f t="shared" si="0"/>
        <v>-11+3,07248150532847E-13i</v>
      </c>
      <c r="N8" s="8" t="str">
        <f t="shared" si="0"/>
        <v>-2,41609429455093+7,43597363460272i</v>
      </c>
      <c r="O8" s="8" t="str">
        <f t="shared" si="0"/>
        <v>-7,19423121646576-5,2269149350662i</v>
      </c>
      <c r="P8" s="8" t="str">
        <f t="shared" si="0"/>
        <v>-10,2106226593231+7,41845159941303i</v>
      </c>
      <c r="Q8" s="8" t="str">
        <f t="shared" si="0"/>
        <v>-0,491364386576033-1,5122640833195i</v>
      </c>
      <c r="R8" s="8" t="str">
        <f t="shared" si="0"/>
        <v>-9+3,77077275653947E-13i</v>
      </c>
      <c r="S8" s="8" t="str">
        <f t="shared" si="0"/>
        <v>1,1093983753259-3,41437711590978i</v>
      </c>
      <c r="T8" s="8" t="str">
        <f t="shared" si="0"/>
        <v>-7,58775121692589-5,51282395102102i</v>
      </c>
      <c r="U8" s="8" t="str">
        <f t="shared" si="0"/>
        <v>5,57619722771592-4,05134443048112i</v>
      </c>
      <c r="V8" s="8" t="str">
        <f t="shared" si="0"/>
        <v>-3,14621160419775-9,68304365871013i</v>
      </c>
      <c r="W8" s="8">
        <f t="shared" si="2"/>
        <v>-8.9972887304945493E-6</v>
      </c>
      <c r="X8" s="8">
        <f t="shared" si="3"/>
        <v>-7.1428206055464001</v>
      </c>
      <c r="Y8" s="1"/>
    </row>
    <row r="9" spans="2:25" x14ac:dyDescent="0.3">
      <c r="B9" s="4">
        <v>3</v>
      </c>
      <c r="C9" s="8" t="str">
        <f t="shared" si="1"/>
        <v>13</v>
      </c>
      <c r="D9" s="8" t="str">
        <f t="shared" si="1"/>
        <v>-5,21731932622892-16,0572577985208i</v>
      </c>
      <c r="E9" s="8" t="str">
        <f t="shared" si="1"/>
        <v>7,75004301897437-5,63073584715592i</v>
      </c>
      <c r="F9" s="8" t="str">
        <f t="shared" si="1"/>
        <v>-12,1250843025265-8,8093894014357i</v>
      </c>
      <c r="G9" s="8" t="str">
        <f t="shared" si="0"/>
        <v>2,45290752342309-7,54927310305248i</v>
      </c>
      <c r="H9" s="8" t="str">
        <f t="shared" si="0"/>
        <v>-11-4,04298990119845E-15i</v>
      </c>
      <c r="I9" s="8" t="str">
        <f t="shared" si="0"/>
        <v>-1,83487353467342-5,64716007046212i</v>
      </c>
      <c r="J9" s="8" t="str">
        <f t="shared" si="0"/>
        <v>-2,43722159622262+1,77074513982872i</v>
      </c>
      <c r="K9" s="8" t="str">
        <f t="shared" si="0"/>
        <v>-9,36807468228325-6,80630466220919i</v>
      </c>
      <c r="L9" s="8" t="str">
        <f t="shared" si="0"/>
        <v>-1,58104322729009+4,86595071219342i</v>
      </c>
      <c r="M9" s="8" t="str">
        <f t="shared" si="0"/>
        <v>-11+4,60872225799269E-13i</v>
      </c>
      <c r="N9" s="8" t="str">
        <f t="shared" si="0"/>
        <v>2,41609429455074+7,43597363460278i</v>
      </c>
      <c r="O9" s="8" t="str">
        <f t="shared" si="0"/>
        <v>-7,19423121646586+5,22691493506606i</v>
      </c>
      <c r="P9" s="8" t="str">
        <f t="shared" si="0"/>
        <v>10,210622659323+7,41845159941315i</v>
      </c>
      <c r="Q9" s="8" t="str">
        <f t="shared" si="0"/>
        <v>-0,491364386576041+1,51226408331949i</v>
      </c>
      <c r="R9" s="8" t="str">
        <f t="shared" si="0"/>
        <v>9+3,6164235668601E-13i</v>
      </c>
      <c r="S9" s="8" t="str">
        <f t="shared" si="0"/>
        <v>1,10939837532593+3,41437711590977i</v>
      </c>
      <c r="T9" s="8" t="str">
        <f t="shared" si="0"/>
        <v>7,5877512169258-5,51282395102114i</v>
      </c>
      <c r="U9" s="8" t="str">
        <f t="shared" si="0"/>
        <v>5,57619722771602+4,05134443048099i</v>
      </c>
      <c r="V9" s="8" t="str">
        <f t="shared" si="0"/>
        <v>3,14621160419843-9,6830436587099i</v>
      </c>
      <c r="W9" s="8">
        <f t="shared" si="2"/>
        <v>1.3648170678948201E-5</v>
      </c>
      <c r="X9" s="8">
        <f t="shared" si="3"/>
        <v>-29.999966841752101</v>
      </c>
      <c r="Y9" s="1"/>
    </row>
    <row r="10" spans="2:25" x14ac:dyDescent="0.3">
      <c r="B10" s="4">
        <v>4</v>
      </c>
      <c r="C10" s="8" t="str">
        <f t="shared" si="1"/>
        <v>13</v>
      </c>
      <c r="D10" s="8" t="str">
        <f t="shared" si="1"/>
        <v>-13,6591193262288-9,92393108560527i</v>
      </c>
      <c r="E10" s="8" t="str">
        <f t="shared" si="1"/>
        <v>-2,96025301897436-9,11072198237072i</v>
      </c>
      <c r="F10" s="8" t="str">
        <f t="shared" si="1"/>
        <v>-4,63137008710737+14,2538914716561i</v>
      </c>
      <c r="G10" s="8" t="str">
        <f t="shared" si="0"/>
        <v>-6,4217952675821+4,66570736804159i</v>
      </c>
      <c r="H10" s="8" t="str">
        <f t="shared" si="0"/>
        <v>11-3,07248150532847E-13i</v>
      </c>
      <c r="I10" s="8" t="str">
        <f t="shared" si="0"/>
        <v>4,80376127883201+3,49013686345693i</v>
      </c>
      <c r="J10" s="8" t="str">
        <f t="shared" si="0"/>
        <v>-0,930935811641621-2,86512582165672i</v>
      </c>
      <c r="K10" s="8" t="str">
        <f t="shared" si="0"/>
        <v>3,57828611948459-11,0128322812413i</v>
      </c>
      <c r="L10" s="8" t="str">
        <f t="shared" si="0"/>
        <v>-4,13922490672853+3,00732292771723i</v>
      </c>
      <c r="M10" s="8" t="str">
        <f t="shared" si="0"/>
        <v>-11-5,18819362471667E-13i</v>
      </c>
      <c r="N10" s="8" t="str">
        <f t="shared" si="0"/>
        <v>6,32541698315933+4,59568444563243i</v>
      </c>
      <c r="O10" s="8" t="str">
        <f t="shared" si="0"/>
        <v>2,7479518017643+8,45732602124151i</v>
      </c>
      <c r="P10" s="8" t="str">
        <f t="shared" si="0"/>
        <v>3,90011080956213-12,0033068317465i</v>
      </c>
      <c r="Q10" s="8" t="str">
        <f t="shared" si="0"/>
        <v>1,28640866491746-0,934630603457155i</v>
      </c>
      <c r="R10" s="8" t="str">
        <f t="shared" si="0"/>
        <v>-9-1,41129295749831E-13i</v>
      </c>
      <c r="S10" s="8" t="str">
        <f t="shared" si="0"/>
        <v>-2,90444265366744-2,11020110804193i</v>
      </c>
      <c r="T10" s="8" t="str">
        <f t="shared" si="0"/>
        <v>2,89826306668741+8,91993652674653i</v>
      </c>
      <c r="U10" s="8" t="str">
        <f t="shared" si="0"/>
        <v>-2,12991781301468+6,55521298865108i</v>
      </c>
      <c r="V10" s="8" t="str">
        <f t="shared" si="0"/>
        <v>8,23688891558954-5,98445009563227i</v>
      </c>
      <c r="W10" s="8">
        <f t="shared" si="2"/>
        <v>2.8755051866724601E-5</v>
      </c>
      <c r="X10" s="8">
        <f t="shared" si="3"/>
        <v>1.8803390573474099E-5</v>
      </c>
      <c r="Y10" s="1"/>
    </row>
    <row r="11" spans="2:25" x14ac:dyDescent="0.3">
      <c r="B11" s="4">
        <v>5</v>
      </c>
      <c r="C11" s="8" t="str">
        <f t="shared" si="1"/>
        <v>13</v>
      </c>
      <c r="D11" s="8" t="str">
        <f t="shared" si="1"/>
        <v>-16,8836-5,45532637293011E-14i</v>
      </c>
      <c r="E11" s="8" t="str">
        <f t="shared" si="1"/>
        <v>-9,57958+3,1686223376029E-14i</v>
      </c>
      <c r="F11" s="8" t="str">
        <f t="shared" si="1"/>
        <v>14,9874284308384+5,50854743552856E-15i</v>
      </c>
      <c r="G11" s="8" t="str">
        <f t="shared" si="0"/>
        <v>7,9377754883177-2,2171516710278E-13i</v>
      </c>
      <c r="H11" s="8" t="str">
        <f t="shared" si="0"/>
        <v>-11+3,64520262932654E-13i</v>
      </c>
      <c r="I11" s="8" t="str">
        <f t="shared" si="0"/>
        <v>-5,93777548831772+2,48777800508848E-13i</v>
      </c>
      <c r="J11" s="8" t="str">
        <f t="shared" si="0"/>
        <v>3,01257156916163-1,47255665927482E-13i</v>
      </c>
      <c r="K11" s="8" t="str">
        <f t="shared" si="0"/>
        <v>11,5795771255969+5,46155347453972E-13i</v>
      </c>
      <c r="L11" s="8" t="str">
        <f t="shared" si="0"/>
        <v>-5,11636335887665-2,05588189196233E-13i</v>
      </c>
      <c r="M11" s="8" t="str">
        <f t="shared" si="0"/>
        <v>-11-3,65195287205244E-13i</v>
      </c>
      <c r="N11" s="8" t="str">
        <f t="shared" si="0"/>
        <v>7,81864537721646+2,04978760103003E-13i</v>
      </c>
      <c r="O11" s="8" t="str">
        <f t="shared" si="0"/>
        <v>8,89255882940273+1,39444507223061E-13i</v>
      </c>
      <c r="P11" s="8" t="str">
        <f t="shared" si="0"/>
        <v>-12,6210236995228-1,54618066603566E-13i</v>
      </c>
      <c r="Q11" s="8" t="str">
        <f t="shared" si="0"/>
        <v>-1,59008855668274-1,40255910854047E-14i</v>
      </c>
      <c r="R11" s="8" t="str">
        <f t="shared" si="0"/>
        <v>9-1,54349189679381E-14i</v>
      </c>
      <c r="S11" s="8" t="str">
        <f t="shared" si="0"/>
        <v>3,59008855668271-1,84716871297357E-14i</v>
      </c>
      <c r="T11" s="8" t="str">
        <f t="shared" si="0"/>
        <v>-9,37897630047711+1,47070001829892E-13i</v>
      </c>
      <c r="U11" s="8" t="str">
        <f t="shared" si="0"/>
        <v>-6,8925588294027+1,3172379417056E-13i</v>
      </c>
      <c r="V11" s="8" t="str">
        <f t="shared" si="0"/>
        <v>10,1813546227835-3,01842965852273E-13i</v>
      </c>
      <c r="W11" s="8">
        <f t="shared" si="2"/>
        <v>3.3766720312300402E-5</v>
      </c>
      <c r="X11" s="8">
        <f t="shared" si="3"/>
        <v>3.2116444223358998E-13</v>
      </c>
      <c r="Y11" s="1"/>
    </row>
    <row r="12" spans="2:25" x14ac:dyDescent="0.3">
      <c r="B12" s="4">
        <v>6</v>
      </c>
      <c r="C12" s="8" t="str">
        <f t="shared" si="1"/>
        <v>13</v>
      </c>
      <c r="D12" s="8" t="str">
        <f t="shared" si="1"/>
        <v>-13,6591193262289+9,92393108560518i</v>
      </c>
      <c r="E12" s="8" t="str">
        <f t="shared" si="1"/>
        <v>-2,96025301897439+9,11072198237071i</v>
      </c>
      <c r="F12" s="8" t="str">
        <f t="shared" si="1"/>
        <v>-4,63137008710794-14,2538914716559i</v>
      </c>
      <c r="G12" s="8" t="str">
        <f t="shared" si="0"/>
        <v>-6,42179526758188-4,66570736804188i</v>
      </c>
      <c r="H12" s="8" t="str">
        <f t="shared" si="0"/>
        <v>11-4,60872225799269E-13i</v>
      </c>
      <c r="I12" s="8" t="str">
        <f t="shared" si="0"/>
        <v>4,80376127883208-3,49013686345684i</v>
      </c>
      <c r="J12" s="8" t="str">
        <f t="shared" si="0"/>
        <v>-0,930935811641636+2,86512582165672i</v>
      </c>
      <c r="K12" s="8" t="str">
        <f t="shared" si="0"/>
        <v>3,57828611948468+11,0128322812413i</v>
      </c>
      <c r="L12" s="8" t="str">
        <f t="shared" si="0"/>
        <v>-4,1392249067286-3,00732292771713i</v>
      </c>
      <c r="M12" s="8" t="str">
        <f t="shared" si="0"/>
        <v>-11-1,72491361472015E-13i</v>
      </c>
      <c r="N12" s="8" t="str">
        <f t="shared" si="0"/>
        <v>6,32541698315912-4,59568444563273i</v>
      </c>
      <c r="O12" s="8" t="str">
        <f t="shared" si="0"/>
        <v>2,74795180176462-8,4573260212414i</v>
      </c>
      <c r="P12" s="8" t="str">
        <f t="shared" si="0"/>
        <v>3,90011080956184+12,0033068317466i</v>
      </c>
      <c r="Q12" s="8" t="str">
        <f t="shared" si="0"/>
        <v>1,28640866491745+0,934630603457169i</v>
      </c>
      <c r="R12" s="8" t="str">
        <f t="shared" si="0"/>
        <v>-9+1,71999133685707E-13i</v>
      </c>
      <c r="S12" s="8" t="str">
        <f t="shared" si="0"/>
        <v>-2,90444265366741+2,11020110804198i</v>
      </c>
      <c r="T12" s="8" t="str">
        <f t="shared" si="0"/>
        <v>2,89826306668714-8,91993652674662i</v>
      </c>
      <c r="U12" s="8" t="str">
        <f t="shared" si="0"/>
        <v>-2,12991781301433-6,5552129886512i</v>
      </c>
      <c r="V12" s="8" t="str">
        <f t="shared" si="0"/>
        <v>8,23688891558989+5,98445009563178i</v>
      </c>
      <c r="W12" s="8">
        <f t="shared" si="2"/>
        <v>2.87550517317214E-5</v>
      </c>
      <c r="X12" s="8">
        <f t="shared" si="3"/>
        <v>-1.8803392721977699E-5</v>
      </c>
      <c r="Y12" s="1"/>
    </row>
    <row r="13" spans="2:25" x14ac:dyDescent="0.3">
      <c r="B13" s="4">
        <v>7</v>
      </c>
      <c r="C13" s="8" t="str">
        <f t="shared" si="1"/>
        <v>13</v>
      </c>
      <c r="D13" s="8" t="str">
        <f t="shared" si="1"/>
        <v>-5,21731932622887+16,0572577985209i</v>
      </c>
      <c r="E13" s="8" t="str">
        <f t="shared" si="1"/>
        <v>7,75004301897436+5,63073584715593i</v>
      </c>
      <c r="F13" s="8" t="str">
        <f t="shared" si="1"/>
        <v>-12,1250843025268+8,80938940143534i</v>
      </c>
      <c r="G13" s="8" t="str">
        <f t="shared" si="0"/>
        <v>2,45290752342274+7,5492731030526i</v>
      </c>
      <c r="H13" s="8" t="str">
        <f t="shared" si="0"/>
        <v>-11+5,37684263432481E-13i</v>
      </c>
      <c r="I13" s="8" t="str">
        <f t="shared" si="0"/>
        <v>-1,83487353467296+5,64716007046227i</v>
      </c>
      <c r="J13" s="8" t="str">
        <f t="shared" si="0"/>
        <v>-2,43722159622261-1,77074513982873i</v>
      </c>
      <c r="K13" s="8" t="str">
        <f t="shared" si="0"/>
        <v>-9,36807468228321+6,80630466220924i</v>
      </c>
      <c r="L13" s="8" t="str">
        <f t="shared" si="0"/>
        <v>-1,58104322729018-4,86595071219339i</v>
      </c>
      <c r="M13" s="8" t="str">
        <f t="shared" si="0"/>
        <v>-11-9,70269871392038E-14i</v>
      </c>
      <c r="N13" s="8" t="str">
        <f t="shared" si="0"/>
        <v>2,4160942945511-7,43597363460267i</v>
      </c>
      <c r="O13" s="8" t="str">
        <f t="shared" si="0"/>
        <v>-7,19423121646568-5,22691493506631i</v>
      </c>
      <c r="P13" s="8" t="str">
        <f t="shared" si="0"/>
        <v>10,2106226593232-7,41845159941294i</v>
      </c>
      <c r="Q13" s="8" t="str">
        <f t="shared" si="0"/>
        <v>-0,491364386576031-1,5122640833195i</v>
      </c>
      <c r="R13" s="8" t="str">
        <f t="shared" si="0"/>
        <v>9-3,92512194621886E-13i</v>
      </c>
      <c r="S13" s="8" t="str">
        <f t="shared" si="0"/>
        <v>1,1093983753259-3,41437711590978i</v>
      </c>
      <c r="T13" s="8" t="str">
        <f t="shared" si="0"/>
        <v>7,58775121692597+5,51282395102089i</v>
      </c>
      <c r="U13" s="8" t="str">
        <f t="shared" si="0"/>
        <v>5,57619722771586-4,0513444304812i</v>
      </c>
      <c r="V13" s="8" t="str">
        <f t="shared" si="0"/>
        <v>3,14621160419804+9,68304365871004i</v>
      </c>
      <c r="W13" s="8">
        <f t="shared" si="2"/>
        <v>1.3648170825497599E-5</v>
      </c>
      <c r="X13" s="8">
        <f t="shared" si="3"/>
        <v>29.999966841752698</v>
      </c>
      <c r="Y13" s="1"/>
    </row>
    <row r="14" spans="2:25" x14ac:dyDescent="0.3">
      <c r="B14" s="4">
        <v>8</v>
      </c>
      <c r="C14" s="8" t="str">
        <f t="shared" si="1"/>
        <v>13</v>
      </c>
      <c r="D14" s="8" t="str">
        <f t="shared" si="1"/>
        <v>5,21731932622887+16,0572577985208i</v>
      </c>
      <c r="E14" s="8" t="str">
        <f t="shared" si="1"/>
        <v>7,75004301897457-5,63073584715564i</v>
      </c>
      <c r="F14" s="8" t="str">
        <f t="shared" si="1"/>
        <v>12,1250843025264+8,80938940143582i</v>
      </c>
      <c r="G14" s="8" t="str">
        <f t="shared" si="0"/>
        <v>2,45290752342289-7,54927310305255i</v>
      </c>
      <c r="H14" s="8" t="str">
        <f t="shared" si="0"/>
        <v>11+5,18819362471667E-13i</v>
      </c>
      <c r="I14" s="8" t="str">
        <f t="shared" si="0"/>
        <v>-1,83487353467309-5,64716007046223i</v>
      </c>
      <c r="J14" s="8" t="str">
        <f t="shared" si="0"/>
        <v>2,43722159622254-1,77074513982883i</v>
      </c>
      <c r="K14" s="8" t="str">
        <f t="shared" si="0"/>
        <v>-9,36807468228363-6,80630466220867i</v>
      </c>
      <c r="L14" s="8" t="str">
        <f t="shared" si="0"/>
        <v>1,58104322729028-4,86595071219336i</v>
      </c>
      <c r="M14" s="8" t="str">
        <f t="shared" si="0"/>
        <v>-11+5,65970881272193E-14i</v>
      </c>
      <c r="N14" s="8" t="str">
        <f t="shared" si="0"/>
        <v>-2,41609429455131-7,4359736346026i</v>
      </c>
      <c r="O14" s="8" t="str">
        <f t="shared" si="0"/>
        <v>-7,19423121646596+5,22691493506592i</v>
      </c>
      <c r="P14" s="8" t="str">
        <f t="shared" si="0"/>
        <v>-10,2106226593229-7,41845159941332i</v>
      </c>
      <c r="Q14" s="8" t="str">
        <f t="shared" si="0"/>
        <v>-0,49136438657606+1,51226408331949i</v>
      </c>
      <c r="R14" s="8" t="str">
        <f t="shared" si="0"/>
        <v>-9-2,82258591499662E-13i</v>
      </c>
      <c r="S14" s="8" t="str">
        <f t="shared" si="0"/>
        <v>1,10939837532597+3,41437711590976i</v>
      </c>
      <c r="T14" s="8" t="str">
        <f t="shared" si="0"/>
        <v>-7,58775121692572+5,51282395102125i</v>
      </c>
      <c r="U14" s="8" t="str">
        <f t="shared" si="0"/>
        <v>5,57619722771569+4,05134443048143i</v>
      </c>
      <c r="V14" s="8" t="str">
        <f t="shared" si="0"/>
        <v>-3,1462116041982+9,68304365870998i</v>
      </c>
      <c r="W14" s="8">
        <f t="shared" si="2"/>
        <v>-8.9972896590850803E-6</v>
      </c>
      <c r="X14" s="8">
        <f t="shared" si="3"/>
        <v>7.1428206055475396</v>
      </c>
      <c r="Y14" s="1"/>
    </row>
    <row r="15" spans="2:25" x14ac:dyDescent="0.3">
      <c r="B15" s="4">
        <v>9</v>
      </c>
      <c r="C15" s="8" t="str">
        <f t="shared" si="1"/>
        <v>13</v>
      </c>
      <c r="D15" s="8" t="str">
        <f t="shared" si="1"/>
        <v>13,6591193262289+9,92393108560517i</v>
      </c>
      <c r="E15" s="8" t="str">
        <f t="shared" si="1"/>
        <v>-2,96025301897476-9,1107219823706i</v>
      </c>
      <c r="F15" s="8" t="str">
        <f t="shared" si="1"/>
        <v>4,63137008710707-14,2538914716562i</v>
      </c>
      <c r="G15" s="8" t="str">
        <f t="shared" si="0"/>
        <v>-6,42179526758197+4,66570736804176i</v>
      </c>
      <c r="H15" s="8" t="str">
        <f t="shared" si="0"/>
        <v>-11-4,42007324838456E-13i</v>
      </c>
      <c r="I15" s="8" t="str">
        <f t="shared" si="0"/>
        <v>4,80376127883216+3,49013686345673i</v>
      </c>
      <c r="J15" s="8" t="str">
        <f t="shared" si="0"/>
        <v>0,930935811641751+2,86512582165668i</v>
      </c>
      <c r="K15" s="8" t="str">
        <f t="shared" si="0"/>
        <v>3,5782861194851-11,0128322812411i</v>
      </c>
      <c r="L15" s="8" t="str">
        <f t="shared" si="0"/>
        <v>4,13922490672864-3,00732292771708i</v>
      </c>
      <c r="M15" s="8" t="str">
        <f t="shared" si="0"/>
        <v>-11+2,10221163393642E-13i</v>
      </c>
      <c r="N15" s="8" t="str">
        <f t="shared" si="0"/>
        <v>-6,32541698315921-4,59568444563259i</v>
      </c>
      <c r="O15" s="8" t="str">
        <f t="shared" si="0"/>
        <v>2,74795180176417+8,45732602124155i</v>
      </c>
      <c r="P15" s="8" t="str">
        <f t="shared" si="0"/>
        <v>-3,90011080956099+12,0033068317469i</v>
      </c>
      <c r="Q15" s="8" t="str">
        <f t="shared" si="0"/>
        <v>1,28640866491746-0,934630603457143i</v>
      </c>
      <c r="R15" s="8" t="str">
        <f t="shared" si="0"/>
        <v>9+1,89643223000302E-13i</v>
      </c>
      <c r="S15" s="8" t="str">
        <f t="shared" si="0"/>
        <v>-2,90444265366724-2,1102011080422i</v>
      </c>
      <c r="T15" s="8" t="str">
        <f t="shared" si="0"/>
        <v>-2,89826306668755-8,91993652674649i</v>
      </c>
      <c r="U15" s="8" t="str">
        <f t="shared" si="0"/>
        <v>-2,12991781301646+6,5552129886505i</v>
      </c>
      <c r="V15" s="8" t="str">
        <f t="shared" si="0"/>
        <v>-8,23688891558932+5,98445009563258i</v>
      </c>
      <c r="W15" s="8">
        <f t="shared" si="2"/>
        <v>-3.0531532255295701E-5</v>
      </c>
      <c r="X15" s="8">
        <f t="shared" si="3"/>
        <v>-2.42708315747464E-5</v>
      </c>
      <c r="Y15" s="1"/>
    </row>
    <row r="16" spans="2:25" x14ac:dyDescent="0.3">
      <c r="B16" s="4">
        <v>10</v>
      </c>
      <c r="C16" s="8" t="str">
        <f t="shared" si="1"/>
        <v>13</v>
      </c>
      <c r="D16" s="8" t="str">
        <f t="shared" si="1"/>
        <v>16,8836-5,58456133767372E-14i</v>
      </c>
      <c r="E16" s="8" t="str">
        <f t="shared" si="1"/>
        <v>-9,57958+2,67573476171041E-13i</v>
      </c>
      <c r="F16" s="8" t="str">
        <f t="shared" si="1"/>
        <v>-14,9874284308384+6,2793540908434E-13i</v>
      </c>
      <c r="G16" s="8" t="str">
        <f t="shared" si="0"/>
        <v>7,9377754883177+3,74388328935656E-13i</v>
      </c>
      <c r="H16" s="8" t="str">
        <f t="shared" si="0"/>
        <v>11+3,65195287205244E-13i</v>
      </c>
      <c r="I16" s="8" t="str">
        <f t="shared" si="0"/>
        <v>-5,93777548831772-9,31104525540986E-14i</v>
      </c>
      <c r="J16" s="8" t="str">
        <f t="shared" si="0"/>
        <v>-3,01257156916163-2,6572794808816E-14i</v>
      </c>
      <c r="K16" s="8" t="str">
        <f t="shared" si="0"/>
        <v>11,5795771255969-5,95791224593946E-14i</v>
      </c>
      <c r="L16" s="8" t="str">
        <f t="shared" si="0"/>
        <v>5,11636335887665-9,77788961497867E-14i</v>
      </c>
      <c r="M16" s="8" t="str">
        <f t="shared" si="0"/>
        <v>-11+3,63845238660066E-13i</v>
      </c>
      <c r="N16" s="8" t="str">
        <f t="shared" si="0"/>
        <v>-7,81864537721646+3,67809914471155E-13i</v>
      </c>
      <c r="O16" s="8" t="str">
        <f t="shared" si="0"/>
        <v>8,89255882940273+2,78889014446122E-13i</v>
      </c>
      <c r="P16" s="8" t="str">
        <f t="shared" si="0"/>
        <v>12,6210236995228+3,09236133207132E-13i</v>
      </c>
      <c r="Q16" s="8" t="str">
        <f t="shared" si="0"/>
        <v>-1,59008855668274-2,80511821708093E-14i</v>
      </c>
      <c r="R16" s="8" t="str">
        <f t="shared" si="0"/>
        <v>-9+3,08698379358763E-14i</v>
      </c>
      <c r="S16" s="8" t="str">
        <f t="shared" si="0"/>
        <v>3,59008855668271+1,39156697876489E-12i</v>
      </c>
      <c r="T16" s="8" t="str">
        <f t="shared" si="0"/>
        <v>9,37897630047711-2,94140003659784E-13i</v>
      </c>
      <c r="U16" s="8" t="str">
        <f t="shared" si="0"/>
        <v>-6,8925588294027+3,10397300041923E-12i</v>
      </c>
      <c r="V16" s="8" t="str">
        <f t="shared" si="0"/>
        <v>-10,1813546227835-1,42191458717203E-12i</v>
      </c>
      <c r="W16" s="8">
        <f t="shared" si="2"/>
        <v>19.999960484473501</v>
      </c>
      <c r="X16" s="8">
        <f t="shared" si="3"/>
        <v>5.4042899669493001E-12</v>
      </c>
      <c r="Y16" s="1"/>
    </row>
    <row r="17" spans="2:25" x14ac:dyDescent="0.3">
      <c r="B17" s="4">
        <v>11</v>
      </c>
      <c r="C17" s="8" t="str">
        <f t="shared" si="1"/>
        <v>13</v>
      </c>
      <c r="D17" s="8" t="str">
        <f t="shared" si="1"/>
        <v>13,6591193262289-9,92393108560513i</v>
      </c>
      <c r="E17" s="8" t="str">
        <f t="shared" si="1"/>
        <v>-2,96025301897427+9,11072198237076i</v>
      </c>
      <c r="F17" s="8" t="str">
        <f t="shared" si="1"/>
        <v>4,6313700871068+14,2538914716563i</v>
      </c>
      <c r="G17" s="8" t="str">
        <f t="shared" si="0"/>
        <v>-6,42179526758201-4,6657073680417i</v>
      </c>
      <c r="H17" s="8" t="str">
        <f t="shared" si="0"/>
        <v>-11-2,88383249572033E-13i</v>
      </c>
      <c r="I17" s="8" t="str">
        <f t="shared" si="0"/>
        <v>4,80376127883195-3,49013686345702i</v>
      </c>
      <c r="J17" s="8" t="str">
        <f t="shared" si="0"/>
        <v>0,930935811641781-2,86512582165667i</v>
      </c>
      <c r="K17" s="8" t="str">
        <f t="shared" si="0"/>
        <v>3,57828611948529+11,0128322812411i</v>
      </c>
      <c r="L17" s="8" t="str">
        <f t="shared" si="0"/>
        <v>4,13922490672848+3,0073229277173i</v>
      </c>
      <c r="M17" s="8" t="str">
        <f t="shared" si="0"/>
        <v>-11-5,76766499144066E-13i</v>
      </c>
      <c r="N17" s="8" t="str">
        <f t="shared" si="0"/>
        <v>-6,32541698315923+4,59568444563256i</v>
      </c>
      <c r="O17" s="8" t="str">
        <f t="shared" si="0"/>
        <v>2,74795180176482-8,45732602124134i</v>
      </c>
      <c r="P17" s="8" t="str">
        <f t="shared" si="0"/>
        <v>-3,9001108095616-12,0033068317467i</v>
      </c>
      <c r="Q17" s="8" t="str">
        <f t="shared" si="0"/>
        <v>1,28640866491745+0,93463060345717i</v>
      </c>
      <c r="R17" s="8" t="str">
        <f t="shared" si="0"/>
        <v>9+1,5391847952434E-12i</v>
      </c>
      <c r="S17" s="8" t="str">
        <f t="shared" si="0"/>
        <v>-2,90444265366675+2,11020110804288i</v>
      </c>
      <c r="T17" s="8" t="str">
        <f t="shared" si="0"/>
        <v>-2,89826306668965+8,9199365267458i</v>
      </c>
      <c r="U17" s="8" t="str">
        <f t="shared" si="0"/>
        <v>-2,12991781301575-6,55521298865074i</v>
      </c>
      <c r="V17" s="8" t="str">
        <f t="shared" si="0"/>
        <v>-8,23688891558756-5,98445009563499i</v>
      </c>
      <c r="W17" s="8">
        <f t="shared" si="2"/>
        <v>-3.05315313493537E-5</v>
      </c>
      <c r="X17" s="8">
        <f t="shared" si="3"/>
        <v>2.4270830256689601E-5</v>
      </c>
      <c r="Y17" s="1"/>
    </row>
    <row r="18" spans="2:25" x14ac:dyDescent="0.3">
      <c r="B18" s="4">
        <v>12</v>
      </c>
      <c r="C18" s="8" t="str">
        <f t="shared" si="1"/>
        <v>13</v>
      </c>
      <c r="D18" s="8" t="str">
        <f t="shared" si="1"/>
        <v>5,21731932622892-16,0572577985208i</v>
      </c>
      <c r="E18" s="8" t="str">
        <f t="shared" si="1"/>
        <v>7,75004301897432+5,63073584715599i</v>
      </c>
      <c r="F18" s="8" t="str">
        <f t="shared" si="1"/>
        <v>12,1250843025266-8,8093894014356i</v>
      </c>
      <c r="G18" s="8" t="str">
        <f t="shared" si="0"/>
        <v>2,45290752342295+7,54927310305253i</v>
      </c>
      <c r="H18" s="8" t="str">
        <f t="shared" si="0"/>
        <v>11+1,72491361472015E-13i</v>
      </c>
      <c r="I18" s="8" t="str">
        <f t="shared" si="0"/>
        <v>-1,83487353467331+5,64716007046216i</v>
      </c>
      <c r="J18" s="8" t="str">
        <f t="shared" si="0"/>
        <v>2,43722159622252+1,77074513982886i</v>
      </c>
      <c r="K18" s="8" t="str">
        <f t="shared" si="0"/>
        <v>-9,36807468228351+6,80630466220883i</v>
      </c>
      <c r="L18" s="8" t="str">
        <f t="shared" si="0"/>
        <v>1,58104322729002+4,86595071219345i</v>
      </c>
      <c r="M18" s="8" t="str">
        <f t="shared" si="0"/>
        <v>-11-3,44982722944032E-13i</v>
      </c>
      <c r="N18" s="8" t="str">
        <f t="shared" si="0"/>
        <v>-2,41609429455135+7,43597363460258i</v>
      </c>
      <c r="O18" s="8" t="str">
        <f t="shared" si="0"/>
        <v>-7,19423121646555-5,22691493506647i</v>
      </c>
      <c r="P18" s="8" t="str">
        <f t="shared" si="0"/>
        <v>-10,2106226593233+7,41845159941282i</v>
      </c>
      <c r="Q18" s="8" t="str">
        <f t="shared" si="0"/>
        <v>-0,491364386576028-1,5122640833195i</v>
      </c>
      <c r="R18" s="8" t="str">
        <f t="shared" si="0"/>
        <v>-9+4,05303134803914E-12i</v>
      </c>
      <c r="S18" s="8" t="str">
        <f t="shared" si="0"/>
        <v>1,10939837532619-3,41437711590969i</v>
      </c>
      <c r="T18" s="8" t="str">
        <f t="shared" si="0"/>
        <v>-7,58775121692825-5,51282395101776i</v>
      </c>
      <c r="U18" s="8" t="str">
        <f t="shared" si="0"/>
        <v>5,57619722771613-4,05134443048083i</v>
      </c>
      <c r="V18" s="8" t="str">
        <f t="shared" si="0"/>
        <v>-3,14621160420224-9,68304365870866i</v>
      </c>
      <c r="W18" s="8">
        <f t="shared" si="2"/>
        <v>-8.9972958856599001E-6</v>
      </c>
      <c r="X18" s="8">
        <f t="shared" si="3"/>
        <v>-7.1428206055382102</v>
      </c>
      <c r="Y18" s="1"/>
    </row>
    <row r="19" spans="2:25" x14ac:dyDescent="0.3">
      <c r="B19" s="4">
        <v>13</v>
      </c>
      <c r="C19" s="8" t="str">
        <f t="shared" si="1"/>
        <v>13</v>
      </c>
      <c r="D19" s="8" t="str">
        <f t="shared" si="1"/>
        <v>-5,21731932622882-16,0572577985209i</v>
      </c>
      <c r="E19" s="8" t="str">
        <f t="shared" si="1"/>
        <v>7,7500430189745-5,63073584715573i</v>
      </c>
      <c r="F19" s="8" t="str">
        <f t="shared" si="1"/>
        <v>-12,1250843025266-8,80938940143557i</v>
      </c>
      <c r="G19" s="8" t="str">
        <f t="shared" si="0"/>
        <v>2,45290752342345-7,54927310305237i</v>
      </c>
      <c r="H19" s="8" t="str">
        <f t="shared" ref="H19" si="4">IMPRODUCT(H$5,IMEXP(COMPLEX(0,-2*PI()*$B19*H$4/10)))</f>
        <v>-11-1,3475917430561E-13i</v>
      </c>
      <c r="I19" s="8" t="str">
        <f t="shared" si="0"/>
        <v>-1,83487353467333-5,64716007046215i</v>
      </c>
      <c r="J19" s="8" t="str">
        <f t="shared" si="0"/>
        <v>-2,43722159622262+1,77074513982872i</v>
      </c>
      <c r="K19" s="8" t="str">
        <f t="shared" si="0"/>
        <v>-9,36807468228328-6,80630466220915i</v>
      </c>
      <c r="L19" s="8" t="str">
        <f t="shared" si="0"/>
        <v>-1,58104322728996+4,86595071219347i</v>
      </c>
      <c r="M19" s="8" t="str">
        <f t="shared" si="0"/>
        <v>-11-2,69518348611219E-13i</v>
      </c>
      <c r="N19" s="8" t="str">
        <f t="shared" si="0"/>
        <v>2,41609429455106+7,43597363460267i</v>
      </c>
      <c r="O19" s="8" t="str">
        <f t="shared" si="0"/>
        <v>-7,19423121646552+5,22691493506652i</v>
      </c>
      <c r="P19" s="8" t="str">
        <f t="shared" si="0"/>
        <v>10,2106226593228+7,41845159941344i</v>
      </c>
      <c r="Q19" s="8" t="str">
        <f t="shared" si="0"/>
        <v>-0,491364386576825+1,51226408331924i</v>
      </c>
      <c r="R19" s="8" t="str">
        <f t="shared" si="0"/>
        <v>9-5,64511328307593E-13i</v>
      </c>
      <c r="S19" s="8" t="str">
        <f t="shared" si="0"/>
        <v>1,10939837532461+3,4143771159102i</v>
      </c>
      <c r="T19" s="8" t="str">
        <f t="shared" si="0"/>
        <v>7,58775121692516-5,51282395102202i</v>
      </c>
      <c r="U19" s="8" t="str">
        <f t="shared" si="0"/>
        <v>5,57619722771461+4,05134443048292i</v>
      </c>
      <c r="V19" s="8" t="str">
        <f t="shared" si="0"/>
        <v>3,14621160419592-9,68304365871072i</v>
      </c>
      <c r="W19" s="8">
        <f t="shared" si="2"/>
        <v>1.3648165157142999E-5</v>
      </c>
      <c r="X19" s="8">
        <f t="shared" si="3"/>
        <v>-29.9999668417524</v>
      </c>
      <c r="Y19" s="1"/>
    </row>
    <row r="20" spans="2:25" x14ac:dyDescent="0.3">
      <c r="B20" s="4">
        <v>14</v>
      </c>
      <c r="C20" s="8" t="str">
        <f t="shared" si="1"/>
        <v>13</v>
      </c>
      <c r="D20" s="8" t="str">
        <f t="shared" si="1"/>
        <v>-13,6591193262289-9,9239310856052i</v>
      </c>
      <c r="E20" s="8" t="str">
        <f t="shared" si="1"/>
        <v>-2,96025301897396-9,11072198237085i</v>
      </c>
      <c r="F20" s="8" t="str">
        <f t="shared" si="1"/>
        <v>-4,63137008710677+14,2538914716563i</v>
      </c>
      <c r="G20" s="8" t="str">
        <f t="shared" si="0"/>
        <v>-6,42179526758186+4,66570736804191i</v>
      </c>
      <c r="H20" s="8" t="str">
        <f t="shared" si="0"/>
        <v>11+9,70269871392038E-14i</v>
      </c>
      <c r="I20" s="8" t="str">
        <f t="shared" si="0"/>
        <v>4,80376127883196+3,49013686345701i</v>
      </c>
      <c r="J20" s="8" t="str">
        <f t="shared" si="0"/>
        <v>-0,930935811641618-2,86512582165673i</v>
      </c>
      <c r="K20" s="8" t="str">
        <f t="shared" si="0"/>
        <v>3,57828611948456-11,0128322812413i</v>
      </c>
      <c r="L20" s="8" t="str">
        <f t="shared" si="0"/>
        <v>-4,13922490672849+3,00732292771729i</v>
      </c>
      <c r="M20" s="8" t="str">
        <f t="shared" si="0"/>
        <v>-11-1,94053974278407E-13i</v>
      </c>
      <c r="N20" s="8" t="str">
        <f t="shared" si="0"/>
        <v>6,32541698315912+4,59568444563271i</v>
      </c>
      <c r="O20" s="8" t="str">
        <f t="shared" si="0"/>
        <v>2,74795180176404+8,4573260212416i</v>
      </c>
      <c r="P20" s="8" t="str">
        <f t="shared" si="0"/>
        <v>3,90011080956728-12,0033068317448i</v>
      </c>
      <c r="Q20" s="8" t="str">
        <f t="shared" si="0"/>
        <v>1,28640866491737-0,934630603457278i</v>
      </c>
      <c r="R20" s="8" t="str">
        <f t="shared" si="0"/>
        <v>-9-2,79611099898713E-12i</v>
      </c>
      <c r="S20" s="8" t="str">
        <f t="shared" si="0"/>
        <v>-2,90444265366787-2,11020110804134i</v>
      </c>
      <c r="T20" s="8" t="str">
        <f t="shared" si="0"/>
        <v>2,89826306668592+8,91993652674701i</v>
      </c>
      <c r="U20" s="8" t="str">
        <f t="shared" si="0"/>
        <v>-2,12991781301168+6,55521298865206i</v>
      </c>
      <c r="V20" s="8" t="str">
        <f t="shared" si="0"/>
        <v>8,23688891558978-5,98445009563195i</v>
      </c>
      <c r="W20" s="8">
        <f t="shared" si="2"/>
        <v>2.8755058881557699E-5</v>
      </c>
      <c r="X20" s="8">
        <f t="shared" si="3"/>
        <v>1.88033935462073E-5</v>
      </c>
      <c r="Y20" s="1"/>
    </row>
    <row r="21" spans="2:25" x14ac:dyDescent="0.3">
      <c r="B21" s="4">
        <v>15</v>
      </c>
      <c r="C21" s="8" t="str">
        <f t="shared" si="1"/>
        <v>13</v>
      </c>
      <c r="D21" s="8" t="str">
        <f t="shared" si="1"/>
        <v>-16,8836-6,20547493598855E-15i</v>
      </c>
      <c r="E21" s="8" t="str">
        <f t="shared" si="1"/>
        <v>-9,57958+4,0136021425656E-13i</v>
      </c>
      <c r="F21" s="8" t="str">
        <f t="shared" si="1"/>
        <v>14,9874284308384+6,022321042657E-13i</v>
      </c>
      <c r="G21" s="8" t="str">
        <f t="shared" si="0"/>
        <v>7,9377754883177+1,24472518276283E-13i</v>
      </c>
      <c r="H21" s="8" t="str">
        <f t="shared" si="0"/>
        <v>-11+1,88649009608133E-14i</v>
      </c>
      <c r="I21" s="8" t="str">
        <f t="shared" si="0"/>
        <v>-5,93777548831772+1,13476915556764E-13i</v>
      </c>
      <c r="J21" s="8" t="str">
        <f t="shared" si="0"/>
        <v>3,01257156916163+1,68292842878736E-13i</v>
      </c>
      <c r="K21" s="8" t="str">
        <f t="shared" si="0"/>
        <v>11,5795771255969+3,63159458848077E-13i</v>
      </c>
      <c r="L21" s="8" t="str">
        <f t="shared" si="0"/>
        <v>-5,11636335887665-1,07809293046447E-13i</v>
      </c>
      <c r="M21" s="8" t="str">
        <f t="shared" si="0"/>
        <v>-11+3,77298019216265E-14i</v>
      </c>
      <c r="N21" s="8" t="str">
        <f t="shared" si="0"/>
        <v>7,81864537721646+1,33714889822352E-12i</v>
      </c>
      <c r="O21" s="8" t="str">
        <f t="shared" si="0"/>
        <v>8,89255882940273-4,00464663331683E-12i</v>
      </c>
      <c r="P21" s="8" t="str">
        <f t="shared" si="0"/>
        <v>-12,6210236995228+7,91634539246581E-13i</v>
      </c>
      <c r="Q21" s="8" t="str">
        <f t="shared" si="0"/>
        <v>-1,59008855668274-4,94007122522687E-13i</v>
      </c>
      <c r="R21" s="8" t="str">
        <f t="shared" si="0"/>
        <v>9-2,7961051442954E-12i</v>
      </c>
      <c r="S21" s="8" t="str">
        <f t="shared" ref="G21:V25" si="5">IMPRODUCT(S$5,IMEXP(COMPLEX(0,-2*PI()*$B21*S$4/10)))</f>
        <v>3,59008855668271+2,25185186526293E-13i</v>
      </c>
      <c r="T21" s="8" t="str">
        <f t="shared" si="5"/>
        <v>-9,37897630047711-4,35698769951284E-12i</v>
      </c>
      <c r="U21" s="8" t="str">
        <f t="shared" si="5"/>
        <v>-6,8925588294027+1,08081544749605E-12i</v>
      </c>
      <c r="V21" s="8" t="str">
        <f t="shared" si="5"/>
        <v>10,1813546227835+2,20521475643221E-12i</v>
      </c>
      <c r="W21" s="8">
        <f t="shared" si="2"/>
        <v>3.3766720312300402E-5</v>
      </c>
      <c r="X21" s="8">
        <f t="shared" si="3"/>
        <v>-4.2961737827409804E-12</v>
      </c>
      <c r="Y21" s="1"/>
    </row>
    <row r="22" spans="2:25" x14ac:dyDescent="0.3">
      <c r="B22" s="4">
        <v>16</v>
      </c>
      <c r="C22" s="8" t="str">
        <f t="shared" si="1"/>
        <v>13</v>
      </c>
      <c r="D22" s="8" t="str">
        <f t="shared" si="1"/>
        <v>-13,6591193262292+9,92393108560469i</v>
      </c>
      <c r="E22" s="8" t="str">
        <f t="shared" si="1"/>
        <v>-2,96025301897414+9,1107219823708i</v>
      </c>
      <c r="F22" s="8" t="str">
        <f t="shared" si="1"/>
        <v>-4,6313700871071-14,2538914716562i</v>
      </c>
      <c r="G22" s="8" t="str">
        <f t="shared" si="5"/>
        <v>-6,42179526758214-4,66570736804152i</v>
      </c>
      <c r="H22" s="8" t="str">
        <f t="shared" si="5"/>
        <v>11-5,65970881272193E-14i</v>
      </c>
      <c r="I22" s="8" t="str">
        <f t="shared" si="5"/>
        <v>4,80376127883215-3,49013686345674i</v>
      </c>
      <c r="J22" s="8" t="str">
        <f t="shared" si="5"/>
        <v>-0,930935811641672+2,86512582165671i</v>
      </c>
      <c r="K22" s="8" t="str">
        <f t="shared" si="5"/>
        <v>3,57828611948481+11,0128322812413i</v>
      </c>
      <c r="L22" s="8" t="str">
        <f t="shared" si="5"/>
        <v>-4,13922490672836-3,00732292771747i</v>
      </c>
      <c r="M22" s="8" t="str">
        <f t="shared" si="5"/>
        <v>-11-4,26374907602778E-12i</v>
      </c>
      <c r="N22" s="8" t="str">
        <f t="shared" si="5"/>
        <v>6,32541698315795-4,59568444563433i</v>
      </c>
      <c r="O22" s="8" t="str">
        <f t="shared" si="5"/>
        <v>2,74795180176495-8,4573260212413i</v>
      </c>
      <c r="P22" s="8" t="str">
        <f t="shared" si="5"/>
        <v>3,90011080955668+12,0033068317483i</v>
      </c>
      <c r="Q22" s="8" t="str">
        <f t="shared" si="5"/>
        <v>1,2864086649177+0,934630603456817i</v>
      </c>
      <c r="R22" s="8" t="str">
        <f t="shared" si="5"/>
        <v>-9-5,64517182999325E-13i</v>
      </c>
      <c r="S22" s="8" t="str">
        <f t="shared" si="5"/>
        <v>-2,90444265366819+2,11020110804089i</v>
      </c>
      <c r="T22" s="8" t="str">
        <f t="shared" si="5"/>
        <v>2,89826306668507-8,91993652674729i</v>
      </c>
      <c r="U22" s="8" t="str">
        <f t="shared" si="5"/>
        <v>-2,12991781301393-6,55521298865133i</v>
      </c>
      <c r="V22" s="8" t="str">
        <f t="shared" si="5"/>
        <v>8,23688891558718+5,98445009563551i</v>
      </c>
      <c r="W22" s="8">
        <f t="shared" si="2"/>
        <v>2.8755041757477801E-5</v>
      </c>
      <c r="X22" s="8">
        <f t="shared" si="3"/>
        <v>-1.8803396043764999E-5</v>
      </c>
      <c r="Y22" s="1"/>
    </row>
    <row r="23" spans="2:25" x14ac:dyDescent="0.3">
      <c r="B23" s="4">
        <v>17</v>
      </c>
      <c r="C23" s="8" t="str">
        <f t="shared" si="1"/>
        <v>13</v>
      </c>
      <c r="D23" s="8" t="str">
        <f t="shared" si="1"/>
        <v>-5,2173193262288+16,0572577985209i</v>
      </c>
      <c r="E23" s="8" t="str">
        <f t="shared" si="1"/>
        <v>7,75004301897439+5,63073584715588i</v>
      </c>
      <c r="F23" s="8" t="str">
        <f t="shared" si="1"/>
        <v>-12,1250843025264+8,80938940143585i</v>
      </c>
      <c r="G23" s="8" t="str">
        <f t="shared" si="5"/>
        <v>2,45290752342316+7,54927310305246i</v>
      </c>
      <c r="H23" s="8" t="str">
        <f t="shared" si="5"/>
        <v>-11+1,72488976227237E-13i</v>
      </c>
      <c r="I23" s="8" t="str">
        <f t="shared" si="5"/>
        <v>-1,83487353467307+5,64716007046224i</v>
      </c>
      <c r="J23" s="8" t="str">
        <f t="shared" si="5"/>
        <v>-2,4372215962226-1,77074513982875i</v>
      </c>
      <c r="K23" s="8" t="str">
        <f t="shared" si="5"/>
        <v>-9,36807468228313+6,80630466220935i</v>
      </c>
      <c r="L23" s="8" t="str">
        <f t="shared" si="5"/>
        <v>-1,58104322729031-4,86595071219335i</v>
      </c>
      <c r="M23" s="8" t="str">
        <f t="shared" si="5"/>
        <v>-11+3,44977952454473E-13i</v>
      </c>
      <c r="N23" s="8" t="str">
        <f t="shared" si="5"/>
        <v>2,41609429455297-7,43597363460206i</v>
      </c>
      <c r="O23" s="8" t="str">
        <f t="shared" si="5"/>
        <v>-7,19423121646807-5,22691493506301i</v>
      </c>
      <c r="P23" s="8" t="str">
        <f t="shared" si="5"/>
        <v>10,210622659322-7,41845159941458i</v>
      </c>
      <c r="Q23" s="8" t="str">
        <f t="shared" si="5"/>
        <v>-0,491364386575864-1,51226408331955i</v>
      </c>
      <c r="R23" s="8" t="str">
        <f t="shared" si="5"/>
        <v>9+4,18093489516769E-12i</v>
      </c>
      <c r="S23" s="8" t="str">
        <f t="shared" si="5"/>
        <v>1,10939837532513-3,41437711591003i</v>
      </c>
      <c r="T23" s="8" t="str">
        <f t="shared" si="5"/>
        <v>7,58775121692552+5,51282395102152i</v>
      </c>
      <c r="U23" s="8" t="str">
        <f t="shared" si="5"/>
        <v>5,57619722771726-4,05134443047928i</v>
      </c>
      <c r="V23" s="8" t="str">
        <f t="shared" si="5"/>
        <v>3,14621160420136+9,68304365870895i</v>
      </c>
      <c r="W23" s="8">
        <f t="shared" si="2"/>
        <v>1.3648173550428999E-5</v>
      </c>
      <c r="X23" s="8">
        <f t="shared" si="3"/>
        <v>29.9999668417612</v>
      </c>
      <c r="Y23" s="1"/>
    </row>
    <row r="24" spans="2:25" x14ac:dyDescent="0.3">
      <c r="B24" s="4">
        <v>18</v>
      </c>
      <c r="C24" s="8" t="str">
        <f t="shared" si="1"/>
        <v>13</v>
      </c>
      <c r="D24" s="8" t="str">
        <f t="shared" si="1"/>
        <v>5,21731932622956+16,0572577985206i</v>
      </c>
      <c r="E24" s="8" t="str">
        <f t="shared" si="1"/>
        <v>7,75004301897442-5,63073584715584i</v>
      </c>
      <c r="F24" s="8" t="str">
        <f t="shared" si="1"/>
        <v>12,1250843025268+8,80938940143531i</v>
      </c>
      <c r="G24" s="8" t="str">
        <f t="shared" si="5"/>
        <v>2,45290752342324-7,54927310305243i</v>
      </c>
      <c r="H24" s="8" t="str">
        <f t="shared" si="5"/>
        <v>11-2,10221163393642E-13i</v>
      </c>
      <c r="I24" s="8" t="str">
        <f t="shared" si="5"/>
        <v>-1,834873534673-5,64716007046226i</v>
      </c>
      <c r="J24" s="8" t="str">
        <f t="shared" si="5"/>
        <v>2,43722159622255-1,77074513982881i</v>
      </c>
      <c r="K24" s="8" t="str">
        <f t="shared" si="5"/>
        <v>-9,36807468228298-6,80630466220955i</v>
      </c>
      <c r="L24" s="8" t="str">
        <f t="shared" si="5"/>
        <v>1,58104322729161-4,86595071219293i</v>
      </c>
      <c r="M24" s="8" t="str">
        <f t="shared" si="5"/>
        <v>-11+4,95370498093672E-12i</v>
      </c>
      <c r="N24" s="8" t="str">
        <f t="shared" si="5"/>
        <v>-2,4160942945524-7,43597363460224i</v>
      </c>
      <c r="O24" s="8" t="str">
        <f t="shared" si="5"/>
        <v>-7,19423121646612+5,2269149350657i</v>
      </c>
      <c r="P24" s="8" t="str">
        <f t="shared" si="5"/>
        <v>-10,2106226593206-7,41845159941647i</v>
      </c>
      <c r="Q24" s="8" t="str">
        <f t="shared" si="5"/>
        <v>-0,491364386575441+1,51226408331969i</v>
      </c>
      <c r="R24" s="8" t="str">
        <f t="shared" si="5"/>
        <v>-9+1,41128124811484E-12i</v>
      </c>
      <c r="S24" s="8" t="str">
        <f t="shared" si="5"/>
        <v>1,10939837532567+3,41437711590986i</v>
      </c>
      <c r="T24" s="8" t="str">
        <f t="shared" si="5"/>
        <v>-7,58775121692774+5,51282395101847i</v>
      </c>
      <c r="U24" s="8" t="str">
        <f t="shared" si="5"/>
        <v>5,57619722771752+4,05134443047892i</v>
      </c>
      <c r="V24" s="8" t="str">
        <f t="shared" si="5"/>
        <v>-3,14621160419653+9,68304365871052i</v>
      </c>
      <c r="W24" s="8">
        <f t="shared" si="2"/>
        <v>-8.9972834431684101E-6</v>
      </c>
      <c r="X24" s="8">
        <f t="shared" si="3"/>
        <v>7.1428206055446903</v>
      </c>
      <c r="Y24" s="1"/>
    </row>
    <row r="25" spans="2:25" x14ac:dyDescent="0.3">
      <c r="B25" s="4">
        <v>19</v>
      </c>
      <c r="C25" s="8" t="str">
        <f t="shared" si="1"/>
        <v>13</v>
      </c>
      <c r="D25" s="8" t="str">
        <f t="shared" si="1"/>
        <v>13,6591193262287+9,9239310856054i</v>
      </c>
      <c r="E25" s="8" t="str">
        <f t="shared" si="1"/>
        <v>-2,9602530189741-9,11072198237082i</v>
      </c>
      <c r="F25" s="8" t="str">
        <f t="shared" si="1"/>
        <v>4,63137008710789-14,2538914716559i</v>
      </c>
      <c r="G25" s="8" t="str">
        <f t="shared" si="5"/>
        <v>-6,42179526758172+4,66570736804209i</v>
      </c>
      <c r="H25" s="8" t="str">
        <f t="shared" si="5"/>
        <v>-11+3,26113051493659E-13i</v>
      </c>
      <c r="I25" s="8" t="str">
        <f t="shared" si="5"/>
        <v>4,8037612788321+3,4901368634568i</v>
      </c>
      <c r="J25" s="8" t="str">
        <f t="shared" si="5"/>
        <v>0,930935811641748+2,86512582165669i</v>
      </c>
      <c r="K25" s="8" t="str">
        <f t="shared" si="5"/>
        <v>3,57828611948504-11,0128322812412i</v>
      </c>
      <c r="L25" s="8" t="str">
        <f t="shared" si="5"/>
        <v>4,13922490672827-3,0073229277176i</v>
      </c>
      <c r="M25" s="8" t="str">
        <f t="shared" si="5"/>
        <v>-11-1,53624552315379E-12i</v>
      </c>
      <c r="N25" s="8" t="str">
        <f t="shared" si="5"/>
        <v>-6,32541698315753-4,5956844456349i</v>
      </c>
      <c r="O25" s="8" t="str">
        <f t="shared" si="5"/>
        <v>2,74795180176811+8,45732602124027i</v>
      </c>
      <c r="P25" s="8" t="str">
        <f t="shared" si="5"/>
        <v>-3,9001108095589+12,0033068317476i</v>
      </c>
      <c r="Q25" s="8" t="str">
        <f t="shared" si="5"/>
        <v>1,28640866491747-0,93463060345714i</v>
      </c>
      <c r="R25" s="8" t="str">
        <f t="shared" si="5"/>
        <v>9+1,94934107917988E-12i</v>
      </c>
      <c r="S25" s="8" t="str">
        <f t="shared" si="5"/>
        <v>-2,90444265366642-2,11020110804333i</v>
      </c>
      <c r="T25" s="8" t="str">
        <f t="shared" si="5"/>
        <v>-2,89826306669036-8,91993652674557i</v>
      </c>
      <c r="U25" s="8" t="str">
        <f t="shared" si="5"/>
        <v>-2,12991781301351+6,55521298865146i</v>
      </c>
      <c r="V25" s="8" t="str">
        <f t="shared" si="5"/>
        <v>-8,23688891559016+5,98445009563143i</v>
      </c>
      <c r="W25" s="8">
        <f t="shared" si="2"/>
        <v>-3.0531523378840602E-5</v>
      </c>
      <c r="X25" s="8">
        <f t="shared" si="3"/>
        <v>-2.42708339781572E-5</v>
      </c>
      <c r="Y25" s="1"/>
    </row>
    <row r="26" spans="2:25" x14ac:dyDescent="0.3">
      <c r="Y26" s="1"/>
    </row>
    <row r="27" spans="2:25" x14ac:dyDescent="0.3"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"/>
    </row>
    <row r="32" spans="2:25" x14ac:dyDescent="0.3">
      <c r="B32" s="3" t="s">
        <v>0</v>
      </c>
      <c r="C32" s="3">
        <v>0</v>
      </c>
      <c r="D32" s="3">
        <v>1</v>
      </c>
      <c r="E32" s="3">
        <v>2</v>
      </c>
      <c r="F32" s="3">
        <v>3</v>
      </c>
      <c r="G32" s="3">
        <v>4</v>
      </c>
      <c r="H32" s="3">
        <v>5</v>
      </c>
      <c r="I32" s="3">
        <v>6</v>
      </c>
      <c r="J32" s="3">
        <v>7</v>
      </c>
      <c r="K32" s="3">
        <v>8</v>
      </c>
      <c r="L32" s="3">
        <v>9</v>
      </c>
      <c r="M32" s="3">
        <v>10</v>
      </c>
      <c r="N32" s="3">
        <v>11</v>
      </c>
      <c r="O32" s="3">
        <v>12</v>
      </c>
      <c r="P32" s="3">
        <v>13</v>
      </c>
      <c r="Q32" s="3">
        <v>14</v>
      </c>
      <c r="R32" s="3">
        <v>15</v>
      </c>
      <c r="S32" s="3">
        <v>16</v>
      </c>
      <c r="T32" s="3">
        <v>17</v>
      </c>
      <c r="U32" s="3">
        <v>18</v>
      </c>
      <c r="V32" s="3">
        <v>19</v>
      </c>
      <c r="W32" s="11" t="s">
        <v>2</v>
      </c>
      <c r="X32" s="11"/>
    </row>
    <row r="33" spans="2:24" x14ac:dyDescent="0.3">
      <c r="B33" s="4" t="s">
        <v>1</v>
      </c>
      <c r="C33" s="7">
        <v>13</v>
      </c>
      <c r="D33" s="7">
        <v>16.883600000000001</v>
      </c>
      <c r="E33" s="7">
        <v>-9.57958</v>
      </c>
      <c r="F33" s="7">
        <v>-14.987428430838399</v>
      </c>
      <c r="G33" s="7">
        <v>7.9377754883177003</v>
      </c>
      <c r="H33" s="7">
        <v>11</v>
      </c>
      <c r="I33" s="7">
        <v>-5.9377754883177198</v>
      </c>
      <c r="J33" s="7">
        <v>-3.0125715691616302</v>
      </c>
      <c r="K33" s="7">
        <v>11.5795771255969</v>
      </c>
      <c r="L33" s="7">
        <v>5.1163633588766499</v>
      </c>
      <c r="M33" s="7">
        <v>-11</v>
      </c>
      <c r="N33" s="7">
        <v>-7.8186453772164599</v>
      </c>
      <c r="O33" s="7">
        <v>8.8925588294027307</v>
      </c>
      <c r="P33" s="7">
        <v>12.6210236995228</v>
      </c>
      <c r="Q33" s="7">
        <v>-1.5900885566827401</v>
      </c>
      <c r="R33" s="7">
        <v>-9</v>
      </c>
      <c r="S33" s="7">
        <v>3.5900885566827099</v>
      </c>
      <c r="T33" s="7">
        <v>9.3789763004771096</v>
      </c>
      <c r="U33" s="7">
        <v>-6.8925588294026996</v>
      </c>
      <c r="V33" s="7">
        <v>-10.1813546227835</v>
      </c>
      <c r="W33" s="5" t="s">
        <v>3</v>
      </c>
      <c r="X33" s="6" t="s">
        <v>4</v>
      </c>
    </row>
    <row r="34" spans="2:24" x14ac:dyDescent="0.3">
      <c r="B34" s="4">
        <v>0</v>
      </c>
      <c r="C34" s="7" t="str">
        <f>IMPRODUCT(C$5,IMEXP(COMPLEX(0,-2*PI()*$B34*C$4/10)))</f>
        <v>13</v>
      </c>
      <c r="D34" s="7" t="str">
        <f t="shared" ref="D34:V49" si="6">IMPRODUCT(D$5,IMEXP(COMPLEX(0,-2*PI()*$B34*D$4/10)))</f>
        <v>16,8836</v>
      </c>
      <c r="E34" s="7" t="str">
        <f t="shared" si="6"/>
        <v>-9,57958</v>
      </c>
      <c r="F34" s="7" t="str">
        <f t="shared" si="6"/>
        <v>-14,9874284308384</v>
      </c>
      <c r="G34" s="7" t="str">
        <f t="shared" si="6"/>
        <v>7,9377754883177</v>
      </c>
      <c r="H34" s="7" t="str">
        <f t="shared" si="6"/>
        <v>11</v>
      </c>
      <c r="I34" s="7" t="str">
        <f t="shared" si="6"/>
        <v>-5,93777548831772</v>
      </c>
      <c r="J34" s="7" t="str">
        <f t="shared" si="6"/>
        <v>-3,01257156916163</v>
      </c>
      <c r="K34" s="7" t="str">
        <f t="shared" si="6"/>
        <v>11,5795771255969</v>
      </c>
      <c r="L34" s="7" t="str">
        <f t="shared" si="6"/>
        <v>5,11636335887665</v>
      </c>
      <c r="M34" s="7" t="str">
        <f t="shared" si="6"/>
        <v>-11</v>
      </c>
      <c r="N34" s="7" t="str">
        <f t="shared" si="6"/>
        <v>-7,81864537721646</v>
      </c>
      <c r="O34" s="7" t="str">
        <f t="shared" si="6"/>
        <v>8,89255882940273</v>
      </c>
      <c r="P34" s="7" t="str">
        <f t="shared" si="6"/>
        <v>12,6210236995228</v>
      </c>
      <c r="Q34" s="7" t="str">
        <f t="shared" si="6"/>
        <v>-1,59008855668274</v>
      </c>
      <c r="R34" s="7" t="str">
        <f t="shared" si="6"/>
        <v>-9</v>
      </c>
      <c r="S34" s="7" t="str">
        <f t="shared" si="6"/>
        <v>3,59008855668271</v>
      </c>
      <c r="T34" s="7" t="str">
        <f t="shared" si="6"/>
        <v>9,37897630047711</v>
      </c>
      <c r="U34" s="7" t="str">
        <f t="shared" si="6"/>
        <v>-6,8925588294027</v>
      </c>
      <c r="V34" s="7" t="str">
        <f t="shared" si="6"/>
        <v>-10,1813546227835</v>
      </c>
      <c r="W34" s="7">
        <f>IMREAL(IMSUM(C34:V34))</f>
        <v>19.999960484473501</v>
      </c>
      <c r="X34" s="7">
        <f>IMAGINARY(IMSUM(C34:V34))</f>
        <v>0</v>
      </c>
    </row>
    <row r="35" spans="2:24" x14ac:dyDescent="0.3">
      <c r="B35" s="4">
        <v>1</v>
      </c>
      <c r="C35" s="7" t="str">
        <f t="shared" ref="C35:R53" si="7">IMPRODUCT(C$5,IMEXP(COMPLEX(0,-2*PI()*$B35*C$4/10)))</f>
        <v>13</v>
      </c>
      <c r="D35" s="7" t="str">
        <f t="shared" si="7"/>
        <v>13,6591193262289-9,9239310856052i</v>
      </c>
      <c r="E35" s="7" t="str">
        <f t="shared" si="7"/>
        <v>-2,96025301897434+9,11072198237073i</v>
      </c>
      <c r="F35" s="7" t="str">
        <f t="shared" si="7"/>
        <v>4,63137008710737+14,2538914716561i</v>
      </c>
      <c r="G35" s="7" t="str">
        <f t="shared" si="6"/>
        <v>-6,4217952675819-4,66570736804186i</v>
      </c>
      <c r="H35" s="7" t="str">
        <f t="shared" si="6"/>
        <v>-11-3,55425324588543E-14i</v>
      </c>
      <c r="I35" s="7" t="str">
        <f t="shared" si="6"/>
        <v>4,80376127883205-3,49013686345689i</v>
      </c>
      <c r="J35" s="7" t="str">
        <f t="shared" si="6"/>
        <v>0,930935811641748-2,86512582165669i</v>
      </c>
      <c r="K35" s="7" t="str">
        <f t="shared" si="6"/>
        <v>3,57828611948485+11,0128322812412i</v>
      </c>
      <c r="L35" s="7" t="str">
        <f t="shared" si="6"/>
        <v>4,13922490672851+3,00732292771727i</v>
      </c>
      <c r="M35" s="7" t="str">
        <f t="shared" si="6"/>
        <v>-11+3,63845238660066E-14i</v>
      </c>
      <c r="N35" s="7" t="str">
        <f t="shared" si="6"/>
        <v>-6,32541698315926+4,59568444563252i</v>
      </c>
      <c r="O35" s="7" t="str">
        <f t="shared" si="6"/>
        <v>2,74795180176446-8,45732602124145i</v>
      </c>
      <c r="P35" s="7" t="str">
        <f t="shared" si="6"/>
        <v>-3,90011080956148-12,0033068317467i</v>
      </c>
      <c r="Q35" s="7" t="str">
        <f t="shared" si="6"/>
        <v>1,28640866491747+0,934630603457139i</v>
      </c>
      <c r="R35" s="7" t="str">
        <f t="shared" si="6"/>
        <v>9+3,30790082825327E-15i</v>
      </c>
      <c r="S35" s="7" t="str">
        <f t="shared" si="6"/>
        <v>-2,90444265366742+2,11020110804196i</v>
      </c>
      <c r="T35" s="7" t="str">
        <f t="shared" si="6"/>
        <v>-2,89826306668727+8,91993652674658i</v>
      </c>
      <c r="U35" s="7" t="str">
        <f t="shared" si="6"/>
        <v>-2,12991781301481-6,55521298865104i</v>
      </c>
      <c r="V35" s="7" t="str">
        <f t="shared" si="6"/>
        <v>-8,2368889155897-5,98445009563206i</v>
      </c>
      <c r="W35" s="7">
        <f t="shared" ref="W35:W53" si="8">IMREAL(IMSUM(C35:V35))</f>
        <v>-3.0531530816446702E-5</v>
      </c>
      <c r="X35" s="7">
        <f t="shared" ref="X35:X53" si="9">IMAGINARY(IMSUM(C35:V35))</f>
        <v>2.4270831612938099E-5</v>
      </c>
    </row>
    <row r="36" spans="2:24" x14ac:dyDescent="0.3">
      <c r="B36" s="4">
        <v>2</v>
      </c>
      <c r="C36" s="7" t="str">
        <f t="shared" si="7"/>
        <v>13</v>
      </c>
      <c r="D36" s="7" t="str">
        <f t="shared" si="7"/>
        <v>5,21731932622882-16,0572577985209i</v>
      </c>
      <c r="E36" s="7" t="str">
        <f t="shared" si="7"/>
        <v>7,75004301897434+5,63073584715597i</v>
      </c>
      <c r="F36" s="7" t="str">
        <f t="shared" si="7"/>
        <v>12,1250843025265-8,80938940143572i</v>
      </c>
      <c r="G36" s="7" t="str">
        <f t="shared" si="6"/>
        <v>2,45290752342307+7,54927310305249i</v>
      </c>
      <c r="H36" s="7" t="str">
        <f t="shared" si="6"/>
        <v>11-3,63845238660066E-14i</v>
      </c>
      <c r="I36" s="7" t="str">
        <f t="shared" si="6"/>
        <v>-1,8348735346732+5,6471600704622i</v>
      </c>
      <c r="J36" s="7" t="str">
        <f t="shared" si="6"/>
        <v>2,43722159622256+1,7707451398288i</v>
      </c>
      <c r="K36" s="7" t="str">
        <f t="shared" si="6"/>
        <v>-9,36807468228356+6,80630466220878i</v>
      </c>
      <c r="L36" s="7" t="str">
        <f t="shared" si="6"/>
        <v>1,58104322729039+4,86595071219333i</v>
      </c>
      <c r="M36" s="7" t="str">
        <f t="shared" si="6"/>
        <v>-11+3,07248150532847E-13i</v>
      </c>
      <c r="N36" s="7" t="str">
        <f t="shared" si="6"/>
        <v>-2,41609429455093+7,43597363460272i</v>
      </c>
      <c r="O36" s="7" t="str">
        <f t="shared" si="6"/>
        <v>-7,19423121646576-5,2269149350662i</v>
      </c>
      <c r="P36" s="7" t="str">
        <f t="shared" si="6"/>
        <v>-10,2106226593231+7,41845159941303i</v>
      </c>
      <c r="Q36" s="7" t="str">
        <f t="shared" si="6"/>
        <v>-0,491364386576033-1,5122640833195i</v>
      </c>
      <c r="R36" s="7" t="str">
        <f t="shared" si="6"/>
        <v>-9+3,77077275653947E-13i</v>
      </c>
      <c r="S36" s="7" t="str">
        <f t="shared" si="6"/>
        <v>1,1093983753259-3,41437711590978i</v>
      </c>
      <c r="T36" s="7" t="str">
        <f t="shared" si="6"/>
        <v>-7,58775121692589-5,51282395102102i</v>
      </c>
      <c r="U36" s="7" t="str">
        <f t="shared" si="6"/>
        <v>5,57619722771592-4,05134443048112i</v>
      </c>
      <c r="V36" s="7" t="str">
        <f t="shared" si="6"/>
        <v>-3,14621160419775-9,68304365871013i</v>
      </c>
      <c r="W36" s="7">
        <f t="shared" si="8"/>
        <v>-8.9972887304945493E-6</v>
      </c>
      <c r="X36" s="7">
        <f t="shared" si="9"/>
        <v>-7.1428206055464001</v>
      </c>
    </row>
    <row r="37" spans="2:24" x14ac:dyDescent="0.3">
      <c r="B37" s="4">
        <v>3</v>
      </c>
      <c r="C37" s="7" t="str">
        <f t="shared" si="7"/>
        <v>13</v>
      </c>
      <c r="D37" s="7" t="str">
        <f t="shared" si="7"/>
        <v>-5,21731932622892-16,0572577985208i</v>
      </c>
      <c r="E37" s="7" t="str">
        <f t="shared" si="7"/>
        <v>7,75004301897437-5,63073584715592i</v>
      </c>
      <c r="F37" s="7" t="str">
        <f t="shared" si="7"/>
        <v>-12,1250843025265-8,8093894014357i</v>
      </c>
      <c r="G37" s="7" t="str">
        <f t="shared" si="6"/>
        <v>2,45290752342309-7,54927310305248i</v>
      </c>
      <c r="H37" s="7" t="str">
        <f t="shared" si="6"/>
        <v>-11-4,04298990119845E-15i</v>
      </c>
      <c r="I37" s="7" t="str">
        <f t="shared" si="6"/>
        <v>-1,83487353467342-5,64716007046212i</v>
      </c>
      <c r="J37" s="7" t="str">
        <f t="shared" si="6"/>
        <v>-2,43722159622262+1,77074513982872i</v>
      </c>
      <c r="K37" s="7" t="str">
        <f t="shared" si="6"/>
        <v>-9,36807468228325-6,80630466220919i</v>
      </c>
      <c r="L37" s="7" t="str">
        <f t="shared" si="6"/>
        <v>-1,58104322729009+4,86595071219342i</v>
      </c>
      <c r="M37" s="7" t="str">
        <f t="shared" si="6"/>
        <v>-11+4,60872225799269E-13i</v>
      </c>
      <c r="N37" s="7" t="str">
        <f t="shared" si="6"/>
        <v>2,41609429455074+7,43597363460278i</v>
      </c>
      <c r="O37" s="7" t="str">
        <f t="shared" si="6"/>
        <v>-7,19423121646586+5,22691493506606i</v>
      </c>
      <c r="P37" s="7" t="str">
        <f t="shared" si="6"/>
        <v>10,210622659323+7,41845159941315i</v>
      </c>
      <c r="Q37" s="7" t="str">
        <f t="shared" si="6"/>
        <v>-0,491364386576041+1,51226408331949i</v>
      </c>
      <c r="R37" s="7" t="str">
        <f t="shared" si="6"/>
        <v>9+3,6164235668601E-13i</v>
      </c>
      <c r="S37" s="7" t="str">
        <f t="shared" si="6"/>
        <v>1,10939837532593+3,41437711590977i</v>
      </c>
      <c r="T37" s="7" t="str">
        <f t="shared" si="6"/>
        <v>7,5877512169258-5,51282395102114i</v>
      </c>
      <c r="U37" s="7" t="str">
        <f t="shared" si="6"/>
        <v>5,57619722771602+4,05134443048099i</v>
      </c>
      <c r="V37" s="7" t="str">
        <f t="shared" si="6"/>
        <v>3,14621160419843-9,6830436587099i</v>
      </c>
      <c r="W37" s="7">
        <f t="shared" si="8"/>
        <v>1.3648170678948201E-5</v>
      </c>
      <c r="X37" s="7">
        <f t="shared" si="9"/>
        <v>-29.999966841752101</v>
      </c>
    </row>
    <row r="38" spans="2:24" x14ac:dyDescent="0.3">
      <c r="B38" s="4">
        <v>4</v>
      </c>
      <c r="C38" s="7" t="str">
        <f t="shared" si="7"/>
        <v>13</v>
      </c>
      <c r="D38" s="7" t="str">
        <f t="shared" si="7"/>
        <v>-13,6591193262288-9,92393108560527i</v>
      </c>
      <c r="E38" s="7" t="str">
        <f t="shared" si="7"/>
        <v>-2,96025301897436-9,11072198237072i</v>
      </c>
      <c r="F38" s="7" t="str">
        <f t="shared" si="7"/>
        <v>-4,63137008710737+14,2538914716561i</v>
      </c>
      <c r="G38" s="7" t="str">
        <f t="shared" si="6"/>
        <v>-6,4217952675821+4,66570736804159i</v>
      </c>
      <c r="H38" s="7" t="str">
        <f t="shared" si="6"/>
        <v>11-3,07248150532847E-13i</v>
      </c>
      <c r="I38" s="7" t="str">
        <f t="shared" si="6"/>
        <v>4,80376127883201+3,49013686345693i</v>
      </c>
      <c r="J38" s="7" t="str">
        <f t="shared" si="6"/>
        <v>-0,930935811641621-2,86512582165672i</v>
      </c>
      <c r="K38" s="7" t="str">
        <f t="shared" si="6"/>
        <v>3,57828611948459-11,0128322812413i</v>
      </c>
      <c r="L38" s="7" t="str">
        <f t="shared" si="6"/>
        <v>-4,13922490672853+3,00732292771723i</v>
      </c>
      <c r="M38" s="7" t="str">
        <f t="shared" si="6"/>
        <v>-11-5,18819362471667E-13i</v>
      </c>
      <c r="N38" s="7" t="str">
        <f t="shared" si="6"/>
        <v>6,32541698315933+4,59568444563243i</v>
      </c>
      <c r="O38" s="7" t="str">
        <f t="shared" si="6"/>
        <v>2,7479518017643+8,45732602124151i</v>
      </c>
      <c r="P38" s="7" t="str">
        <f t="shared" si="6"/>
        <v>3,90011080956213-12,0033068317465i</v>
      </c>
      <c r="Q38" s="7" t="str">
        <f t="shared" si="6"/>
        <v>1,28640866491746-0,934630603457155i</v>
      </c>
      <c r="R38" s="7" t="str">
        <f t="shared" si="6"/>
        <v>-9-1,41129295749831E-13i</v>
      </c>
      <c r="S38" s="7" t="str">
        <f t="shared" si="6"/>
        <v>-2,90444265366744-2,11020110804193i</v>
      </c>
      <c r="T38" s="7" t="str">
        <f t="shared" si="6"/>
        <v>2,89826306668741+8,91993652674653i</v>
      </c>
      <c r="U38" s="7" t="str">
        <f t="shared" si="6"/>
        <v>-2,12991781301468+6,55521298865108i</v>
      </c>
      <c r="V38" s="7" t="str">
        <f t="shared" si="6"/>
        <v>8,23688891558954-5,98445009563227i</v>
      </c>
      <c r="W38" s="7">
        <f t="shared" si="8"/>
        <v>2.8755051866724601E-5</v>
      </c>
      <c r="X38" s="7">
        <f t="shared" si="9"/>
        <v>1.8803390573474099E-5</v>
      </c>
    </row>
    <row r="39" spans="2:24" x14ac:dyDescent="0.3">
      <c r="B39" s="4">
        <v>5</v>
      </c>
      <c r="C39" s="7" t="str">
        <f t="shared" si="7"/>
        <v>13</v>
      </c>
      <c r="D39" s="7" t="str">
        <f t="shared" si="7"/>
        <v>-16,8836-5,45532637293011E-14i</v>
      </c>
      <c r="E39" s="7" t="str">
        <f t="shared" si="7"/>
        <v>-9,57958+3,1686223376029E-14i</v>
      </c>
      <c r="F39" s="7" t="str">
        <f t="shared" si="7"/>
        <v>14,9874284308384+5,50854743552856E-15i</v>
      </c>
      <c r="G39" s="7" t="str">
        <f t="shared" si="6"/>
        <v>7,9377754883177-2,2171516710278E-13i</v>
      </c>
      <c r="H39" s="7" t="str">
        <f t="shared" si="6"/>
        <v>-11+3,64520262932654E-13i</v>
      </c>
      <c r="I39" s="7" t="str">
        <f t="shared" si="6"/>
        <v>-5,93777548831772+2,48777800508848E-13i</v>
      </c>
      <c r="J39" s="7" t="str">
        <f t="shared" si="6"/>
        <v>3,01257156916163-1,47255665927482E-13i</v>
      </c>
      <c r="K39" s="7" t="str">
        <f t="shared" si="6"/>
        <v>11,5795771255969+5,46155347453972E-13i</v>
      </c>
      <c r="L39" s="7" t="str">
        <f t="shared" si="6"/>
        <v>-5,11636335887665-2,05588189196233E-13i</v>
      </c>
      <c r="M39" s="7" t="str">
        <f t="shared" si="6"/>
        <v>-11-3,65195287205244E-13i</v>
      </c>
      <c r="N39" s="7" t="str">
        <f t="shared" si="6"/>
        <v>7,81864537721646+2,04978760103003E-13i</v>
      </c>
      <c r="O39" s="7" t="str">
        <f t="shared" si="6"/>
        <v>8,89255882940273+1,39444507223061E-13i</v>
      </c>
      <c r="P39" s="7" t="str">
        <f t="shared" si="6"/>
        <v>-12,6210236995228-1,54618066603566E-13i</v>
      </c>
      <c r="Q39" s="7" t="str">
        <f t="shared" si="6"/>
        <v>-1,59008855668274-1,40255910854047E-14i</v>
      </c>
      <c r="R39" s="7" t="str">
        <f t="shared" si="6"/>
        <v>9-1,54349189679381E-14i</v>
      </c>
      <c r="S39" s="7" t="str">
        <f t="shared" si="6"/>
        <v>3,59008855668271-1,84716871297357E-14i</v>
      </c>
      <c r="T39" s="7" t="str">
        <f t="shared" si="6"/>
        <v>-9,37897630047711+1,47070001829892E-13i</v>
      </c>
      <c r="U39" s="7" t="str">
        <f t="shared" si="6"/>
        <v>-6,8925588294027+1,3172379417056E-13i</v>
      </c>
      <c r="V39" s="7" t="str">
        <f t="shared" si="6"/>
        <v>10,1813546227835-3,01842965852273E-13i</v>
      </c>
      <c r="W39" s="7">
        <f t="shared" si="8"/>
        <v>3.3766720312300402E-5</v>
      </c>
      <c r="X39" s="7">
        <f t="shared" si="9"/>
        <v>3.2116444223358998E-13</v>
      </c>
    </row>
    <row r="40" spans="2:24" x14ac:dyDescent="0.3">
      <c r="B40" s="4">
        <v>6</v>
      </c>
      <c r="C40" s="7" t="str">
        <f t="shared" si="7"/>
        <v>13</v>
      </c>
      <c r="D40" s="7" t="str">
        <f t="shared" si="7"/>
        <v>-13,6591193262289+9,92393108560518i</v>
      </c>
      <c r="E40" s="7" t="str">
        <f t="shared" si="7"/>
        <v>-2,96025301897439+9,11072198237071i</v>
      </c>
      <c r="F40" s="7" t="str">
        <f t="shared" si="7"/>
        <v>-4,63137008710794-14,2538914716559i</v>
      </c>
      <c r="G40" s="7" t="str">
        <f t="shared" si="6"/>
        <v>-6,42179526758188-4,66570736804188i</v>
      </c>
      <c r="H40" s="7" t="str">
        <f t="shared" si="6"/>
        <v>11-4,60872225799269E-13i</v>
      </c>
      <c r="I40" s="7" t="str">
        <f t="shared" si="6"/>
        <v>4,80376127883208-3,49013686345684i</v>
      </c>
      <c r="J40" s="7" t="str">
        <f t="shared" si="6"/>
        <v>-0,930935811641636+2,86512582165672i</v>
      </c>
      <c r="K40" s="7" t="str">
        <f t="shared" si="6"/>
        <v>3,57828611948468+11,0128322812413i</v>
      </c>
      <c r="L40" s="7" t="str">
        <f t="shared" si="6"/>
        <v>-4,1392249067286-3,00732292771713i</v>
      </c>
      <c r="M40" s="7" t="str">
        <f t="shared" si="6"/>
        <v>-11-1,72491361472015E-13i</v>
      </c>
      <c r="N40" s="7" t="str">
        <f t="shared" si="6"/>
        <v>6,32541698315912-4,59568444563273i</v>
      </c>
      <c r="O40" s="7" t="str">
        <f t="shared" si="6"/>
        <v>2,74795180176462-8,4573260212414i</v>
      </c>
      <c r="P40" s="7" t="str">
        <f t="shared" si="6"/>
        <v>3,90011080956184+12,0033068317466i</v>
      </c>
      <c r="Q40" s="7" t="str">
        <f t="shared" si="6"/>
        <v>1,28640866491745+0,934630603457169i</v>
      </c>
      <c r="R40" s="7" t="str">
        <f t="shared" si="6"/>
        <v>-9+1,71999133685707E-13i</v>
      </c>
      <c r="S40" s="7" t="str">
        <f t="shared" si="6"/>
        <v>-2,90444265366741+2,11020110804198i</v>
      </c>
      <c r="T40" s="7" t="str">
        <f t="shared" si="6"/>
        <v>2,89826306668714-8,91993652674662i</v>
      </c>
      <c r="U40" s="7" t="str">
        <f t="shared" si="6"/>
        <v>-2,12991781301433-6,5552129886512i</v>
      </c>
      <c r="V40" s="7" t="str">
        <f t="shared" si="6"/>
        <v>8,23688891558989+5,98445009563178i</v>
      </c>
      <c r="W40" s="7">
        <f t="shared" si="8"/>
        <v>2.87550517317214E-5</v>
      </c>
      <c r="X40" s="7">
        <f t="shared" si="9"/>
        <v>-1.8803392721977699E-5</v>
      </c>
    </row>
    <row r="41" spans="2:24" x14ac:dyDescent="0.3">
      <c r="B41" s="4">
        <v>7</v>
      </c>
      <c r="C41" s="7" t="str">
        <f t="shared" si="7"/>
        <v>13</v>
      </c>
      <c r="D41" s="7" t="str">
        <f t="shared" si="7"/>
        <v>-5,21731932622887+16,0572577985209i</v>
      </c>
      <c r="E41" s="7" t="str">
        <f t="shared" si="7"/>
        <v>7,75004301897436+5,63073584715593i</v>
      </c>
      <c r="F41" s="7" t="str">
        <f t="shared" si="7"/>
        <v>-12,1250843025268+8,80938940143534i</v>
      </c>
      <c r="G41" s="7" t="str">
        <f t="shared" si="6"/>
        <v>2,45290752342274+7,5492731030526i</v>
      </c>
      <c r="H41" s="7" t="str">
        <f t="shared" si="6"/>
        <v>-11+5,37684263432481E-13i</v>
      </c>
      <c r="I41" s="7" t="str">
        <f t="shared" si="6"/>
        <v>-1,83487353467296+5,64716007046227i</v>
      </c>
      <c r="J41" s="7" t="str">
        <f t="shared" si="6"/>
        <v>-2,43722159622261-1,77074513982873i</v>
      </c>
      <c r="K41" s="7" t="str">
        <f t="shared" si="6"/>
        <v>-9,36807468228321+6,80630466220924i</v>
      </c>
      <c r="L41" s="7" t="str">
        <f t="shared" si="6"/>
        <v>-1,58104322729018-4,86595071219339i</v>
      </c>
      <c r="M41" s="7" t="str">
        <f t="shared" si="6"/>
        <v>-11-9,70269871392038E-14i</v>
      </c>
      <c r="N41" s="7" t="str">
        <f t="shared" si="6"/>
        <v>2,4160942945511-7,43597363460267i</v>
      </c>
      <c r="O41" s="7" t="str">
        <f t="shared" si="6"/>
        <v>-7,19423121646568-5,22691493506631i</v>
      </c>
      <c r="P41" s="7" t="str">
        <f t="shared" si="6"/>
        <v>10,2106226593232-7,41845159941294i</v>
      </c>
      <c r="Q41" s="7" t="str">
        <f t="shared" si="6"/>
        <v>-0,491364386576031-1,5122640833195i</v>
      </c>
      <c r="R41" s="7" t="str">
        <f t="shared" si="6"/>
        <v>9-3,92512194621886E-13i</v>
      </c>
      <c r="S41" s="7" t="str">
        <f t="shared" si="6"/>
        <v>1,1093983753259-3,41437711590978i</v>
      </c>
      <c r="T41" s="7" t="str">
        <f t="shared" si="6"/>
        <v>7,58775121692597+5,51282395102089i</v>
      </c>
      <c r="U41" s="7" t="str">
        <f t="shared" si="6"/>
        <v>5,57619722771586-4,0513444304812i</v>
      </c>
      <c r="V41" s="7" t="str">
        <f t="shared" si="6"/>
        <v>3,14621160419804+9,68304365871004i</v>
      </c>
      <c r="W41" s="7">
        <f t="shared" si="8"/>
        <v>1.3648170825497599E-5</v>
      </c>
      <c r="X41" s="7">
        <f t="shared" si="9"/>
        <v>29.999966841752698</v>
      </c>
    </row>
    <row r="42" spans="2:24" x14ac:dyDescent="0.3">
      <c r="B42" s="4">
        <v>8</v>
      </c>
      <c r="C42" s="7" t="str">
        <f t="shared" si="7"/>
        <v>13</v>
      </c>
      <c r="D42" s="7" t="str">
        <f t="shared" si="7"/>
        <v>5,21731932622887+16,0572577985208i</v>
      </c>
      <c r="E42" s="7" t="str">
        <f t="shared" si="7"/>
        <v>7,75004301897457-5,63073584715564i</v>
      </c>
      <c r="F42" s="7" t="str">
        <f t="shared" si="7"/>
        <v>12,1250843025264+8,80938940143582i</v>
      </c>
      <c r="G42" s="7" t="str">
        <f t="shared" si="6"/>
        <v>2,45290752342289-7,54927310305255i</v>
      </c>
      <c r="H42" s="7" t="str">
        <f t="shared" si="6"/>
        <v>11+5,18819362471667E-13i</v>
      </c>
      <c r="I42" s="7" t="str">
        <f t="shared" si="6"/>
        <v>-1,83487353467309-5,64716007046223i</v>
      </c>
      <c r="J42" s="7" t="str">
        <f t="shared" si="6"/>
        <v>2,43722159622254-1,77074513982883i</v>
      </c>
      <c r="K42" s="7" t="str">
        <f t="shared" si="6"/>
        <v>-9,36807468228363-6,80630466220867i</v>
      </c>
      <c r="L42" s="7" t="str">
        <f t="shared" si="6"/>
        <v>1,58104322729028-4,86595071219336i</v>
      </c>
      <c r="M42" s="7" t="str">
        <f t="shared" si="6"/>
        <v>-11+5,65970881272193E-14i</v>
      </c>
      <c r="N42" s="7" t="str">
        <f t="shared" si="6"/>
        <v>-2,41609429455131-7,4359736346026i</v>
      </c>
      <c r="O42" s="7" t="str">
        <f t="shared" si="6"/>
        <v>-7,19423121646596+5,22691493506592i</v>
      </c>
      <c r="P42" s="7" t="str">
        <f t="shared" si="6"/>
        <v>-10,2106226593229-7,41845159941332i</v>
      </c>
      <c r="Q42" s="7" t="str">
        <f t="shared" si="6"/>
        <v>-0,49136438657606+1,51226408331949i</v>
      </c>
      <c r="R42" s="7" t="str">
        <f t="shared" si="6"/>
        <v>-9-2,82258591499662E-13i</v>
      </c>
      <c r="S42" s="7" t="str">
        <f t="shared" si="6"/>
        <v>1,10939837532597+3,41437711590976i</v>
      </c>
      <c r="T42" s="7" t="str">
        <f t="shared" si="6"/>
        <v>-7,58775121692572+5,51282395102125i</v>
      </c>
      <c r="U42" s="7" t="str">
        <f t="shared" si="6"/>
        <v>5,57619722771569+4,05134443048143i</v>
      </c>
      <c r="V42" s="7" t="str">
        <f t="shared" si="6"/>
        <v>-3,1462116041982+9,68304365870998i</v>
      </c>
      <c r="W42" s="7">
        <f t="shared" si="8"/>
        <v>-8.9972896590850803E-6</v>
      </c>
      <c r="X42" s="7">
        <f t="shared" si="9"/>
        <v>7.1428206055475396</v>
      </c>
    </row>
    <row r="43" spans="2:24" x14ac:dyDescent="0.3">
      <c r="B43" s="4">
        <v>9</v>
      </c>
      <c r="C43" s="7" t="str">
        <f t="shared" si="7"/>
        <v>13</v>
      </c>
      <c r="D43" s="7" t="str">
        <f t="shared" si="7"/>
        <v>13,6591193262289+9,92393108560517i</v>
      </c>
      <c r="E43" s="7" t="str">
        <f t="shared" si="7"/>
        <v>-2,96025301897476-9,1107219823706i</v>
      </c>
      <c r="F43" s="7" t="str">
        <f t="shared" si="7"/>
        <v>4,63137008710707-14,2538914716562i</v>
      </c>
      <c r="G43" s="7" t="str">
        <f t="shared" si="6"/>
        <v>-6,42179526758197+4,66570736804176i</v>
      </c>
      <c r="H43" s="7" t="str">
        <f t="shared" si="6"/>
        <v>-11-4,42007324838456E-13i</v>
      </c>
      <c r="I43" s="7" t="str">
        <f t="shared" si="6"/>
        <v>4,80376127883216+3,49013686345673i</v>
      </c>
      <c r="J43" s="7" t="str">
        <f t="shared" si="6"/>
        <v>0,930935811641751+2,86512582165668i</v>
      </c>
      <c r="K43" s="7" t="str">
        <f t="shared" si="6"/>
        <v>3,5782861194851-11,0128322812411i</v>
      </c>
      <c r="L43" s="7" t="str">
        <f t="shared" si="6"/>
        <v>4,13922490672864-3,00732292771708i</v>
      </c>
      <c r="M43" s="7" t="str">
        <f t="shared" si="6"/>
        <v>-11+2,10221163393642E-13i</v>
      </c>
      <c r="N43" s="7" t="str">
        <f t="shared" si="6"/>
        <v>-6,32541698315921-4,59568444563259i</v>
      </c>
      <c r="O43" s="7" t="str">
        <f t="shared" si="6"/>
        <v>2,74795180176417+8,45732602124155i</v>
      </c>
      <c r="P43" s="7" t="str">
        <f t="shared" si="6"/>
        <v>-3,90011080956099+12,0033068317469i</v>
      </c>
      <c r="Q43" s="7" t="str">
        <f t="shared" si="6"/>
        <v>1,28640866491746-0,934630603457143i</v>
      </c>
      <c r="R43" s="7" t="str">
        <f t="shared" si="6"/>
        <v>9+1,89643223000302E-13i</v>
      </c>
      <c r="S43" s="7" t="str">
        <f t="shared" si="6"/>
        <v>-2,90444265366724-2,1102011080422i</v>
      </c>
      <c r="T43" s="7" t="str">
        <f t="shared" si="6"/>
        <v>-2,89826306668755-8,91993652674649i</v>
      </c>
      <c r="U43" s="7" t="str">
        <f t="shared" si="6"/>
        <v>-2,12991781301646+6,5552129886505i</v>
      </c>
      <c r="V43" s="7" t="str">
        <f t="shared" si="6"/>
        <v>-8,23688891558932+5,98445009563258i</v>
      </c>
      <c r="W43" s="7">
        <f t="shared" si="8"/>
        <v>-3.0531532255295701E-5</v>
      </c>
      <c r="X43" s="7">
        <f t="shared" si="9"/>
        <v>-2.42708315747464E-5</v>
      </c>
    </row>
    <row r="44" spans="2:24" x14ac:dyDescent="0.3">
      <c r="B44" s="4">
        <v>10</v>
      </c>
      <c r="C44" s="7" t="str">
        <f t="shared" si="7"/>
        <v>13</v>
      </c>
      <c r="D44" s="7" t="str">
        <f t="shared" si="7"/>
        <v>16,8836-5,58456133767372E-14i</v>
      </c>
      <c r="E44" s="7" t="str">
        <f t="shared" si="7"/>
        <v>-9,57958+2,67573476171041E-13i</v>
      </c>
      <c r="F44" s="7" t="str">
        <f t="shared" si="7"/>
        <v>-14,9874284308384+6,2793540908434E-13i</v>
      </c>
      <c r="G44" s="7" t="str">
        <f t="shared" si="6"/>
        <v>7,9377754883177+3,74388328935656E-13i</v>
      </c>
      <c r="H44" s="7" t="str">
        <f t="shared" si="6"/>
        <v>11+3,65195287205244E-13i</v>
      </c>
      <c r="I44" s="7" t="str">
        <f t="shared" si="6"/>
        <v>-5,93777548831772-9,31104525540986E-14i</v>
      </c>
      <c r="J44" s="7" t="str">
        <f t="shared" si="6"/>
        <v>-3,01257156916163-2,6572794808816E-14i</v>
      </c>
      <c r="K44" s="7" t="str">
        <f t="shared" si="6"/>
        <v>11,5795771255969-5,95791224593946E-14i</v>
      </c>
      <c r="L44" s="7" t="str">
        <f t="shared" si="6"/>
        <v>5,11636335887665-9,77788961497867E-14i</v>
      </c>
      <c r="M44" s="7" t="str">
        <f t="shared" si="6"/>
        <v>-11+3,63845238660066E-13i</v>
      </c>
      <c r="N44" s="7" t="str">
        <f t="shared" si="6"/>
        <v>-7,81864537721646+3,67809914471155E-13i</v>
      </c>
      <c r="O44" s="7" t="str">
        <f t="shared" si="6"/>
        <v>8,89255882940273+2,78889014446122E-13i</v>
      </c>
      <c r="P44" s="7" t="str">
        <f t="shared" si="6"/>
        <v>12,6210236995228+3,09236133207132E-13i</v>
      </c>
      <c r="Q44" s="7" t="str">
        <f t="shared" si="6"/>
        <v>-1,59008855668274-2,80511821708093E-14i</v>
      </c>
      <c r="R44" s="7" t="str">
        <f t="shared" si="6"/>
        <v>-9+3,08698379358763E-14i</v>
      </c>
      <c r="S44" s="7" t="str">
        <f t="shared" si="6"/>
        <v>3,59008855668271+1,39156697876489E-12i</v>
      </c>
      <c r="T44" s="7" t="str">
        <f t="shared" si="6"/>
        <v>9,37897630047711-2,94140003659784E-13i</v>
      </c>
      <c r="U44" s="7" t="str">
        <f t="shared" si="6"/>
        <v>-6,8925588294027+3,10397300041923E-12i</v>
      </c>
      <c r="V44" s="7" t="str">
        <f t="shared" si="6"/>
        <v>-10,1813546227835-1,42191458717203E-12i</v>
      </c>
      <c r="W44" s="7">
        <f t="shared" si="8"/>
        <v>19.999960484473501</v>
      </c>
      <c r="X44" s="7">
        <f t="shared" si="9"/>
        <v>5.4042899669493001E-12</v>
      </c>
    </row>
    <row r="45" spans="2:24" x14ac:dyDescent="0.3">
      <c r="B45" s="4">
        <v>11</v>
      </c>
      <c r="C45" s="7" t="str">
        <f t="shared" si="7"/>
        <v>13</v>
      </c>
      <c r="D45" s="7" t="str">
        <f t="shared" si="7"/>
        <v>13,6591193262289-9,92393108560513i</v>
      </c>
      <c r="E45" s="7" t="str">
        <f t="shared" si="7"/>
        <v>-2,96025301897427+9,11072198237076i</v>
      </c>
      <c r="F45" s="7" t="str">
        <f t="shared" si="7"/>
        <v>4,6313700871068+14,2538914716563i</v>
      </c>
      <c r="G45" s="7" t="str">
        <f t="shared" si="6"/>
        <v>-6,42179526758201-4,6657073680417i</v>
      </c>
      <c r="H45" s="7" t="str">
        <f t="shared" si="6"/>
        <v>-11-2,88383249572033E-13i</v>
      </c>
      <c r="I45" s="7" t="str">
        <f t="shared" si="6"/>
        <v>4,80376127883195-3,49013686345702i</v>
      </c>
      <c r="J45" s="7" t="str">
        <f t="shared" si="6"/>
        <v>0,930935811641781-2,86512582165667i</v>
      </c>
      <c r="K45" s="7" t="str">
        <f t="shared" si="6"/>
        <v>3,57828611948529+11,0128322812411i</v>
      </c>
      <c r="L45" s="7" t="str">
        <f t="shared" si="6"/>
        <v>4,13922490672848+3,0073229277173i</v>
      </c>
      <c r="M45" s="7" t="str">
        <f t="shared" si="6"/>
        <v>-11-5,76766499144066E-13i</v>
      </c>
      <c r="N45" s="7" t="str">
        <f t="shared" si="6"/>
        <v>-6,32541698315923+4,59568444563256i</v>
      </c>
      <c r="O45" s="7" t="str">
        <f t="shared" si="6"/>
        <v>2,74795180176482-8,45732602124134i</v>
      </c>
      <c r="P45" s="7" t="str">
        <f t="shared" si="6"/>
        <v>-3,9001108095616-12,0033068317467i</v>
      </c>
      <c r="Q45" s="7" t="str">
        <f t="shared" si="6"/>
        <v>1,28640866491745+0,93463060345717i</v>
      </c>
      <c r="R45" s="7" t="str">
        <f t="shared" si="6"/>
        <v>9+1,5391847952434E-12i</v>
      </c>
      <c r="S45" s="7" t="str">
        <f t="shared" si="6"/>
        <v>-2,90444265366675+2,11020110804288i</v>
      </c>
      <c r="T45" s="7" t="str">
        <f t="shared" si="6"/>
        <v>-2,89826306668965+8,9199365267458i</v>
      </c>
      <c r="U45" s="7" t="str">
        <f t="shared" si="6"/>
        <v>-2,12991781301575-6,55521298865074i</v>
      </c>
      <c r="V45" s="7" t="str">
        <f t="shared" si="6"/>
        <v>-8,23688891558756-5,98445009563499i</v>
      </c>
      <c r="W45" s="7">
        <f t="shared" si="8"/>
        <v>-3.05315313493537E-5</v>
      </c>
      <c r="X45" s="7">
        <f t="shared" si="9"/>
        <v>2.4270830256689601E-5</v>
      </c>
    </row>
    <row r="46" spans="2:24" x14ac:dyDescent="0.3">
      <c r="B46" s="4">
        <v>12</v>
      </c>
      <c r="C46" s="7" t="str">
        <f t="shared" si="7"/>
        <v>13</v>
      </c>
      <c r="D46" s="7" t="str">
        <f t="shared" si="7"/>
        <v>5,21731932622892-16,0572577985208i</v>
      </c>
      <c r="E46" s="7" t="str">
        <f t="shared" si="7"/>
        <v>7,75004301897432+5,63073584715599i</v>
      </c>
      <c r="F46" s="7" t="str">
        <f t="shared" si="7"/>
        <v>12,1250843025266-8,8093894014356i</v>
      </c>
      <c r="G46" s="7" t="str">
        <f t="shared" si="6"/>
        <v>2,45290752342295+7,54927310305253i</v>
      </c>
      <c r="H46" s="7" t="str">
        <f t="shared" si="6"/>
        <v>11+1,72491361472015E-13i</v>
      </c>
      <c r="I46" s="7" t="str">
        <f t="shared" si="6"/>
        <v>-1,83487353467331+5,64716007046216i</v>
      </c>
      <c r="J46" s="7" t="str">
        <f t="shared" si="6"/>
        <v>2,43722159622252+1,77074513982886i</v>
      </c>
      <c r="K46" s="7" t="str">
        <f t="shared" si="6"/>
        <v>-9,36807468228351+6,80630466220883i</v>
      </c>
      <c r="L46" s="7" t="str">
        <f t="shared" si="6"/>
        <v>1,58104322729002+4,86595071219345i</v>
      </c>
      <c r="M46" s="7" t="str">
        <f t="shared" si="6"/>
        <v>-11-3,44982722944032E-13i</v>
      </c>
      <c r="N46" s="7" t="str">
        <f t="shared" si="6"/>
        <v>-2,41609429455135+7,43597363460258i</v>
      </c>
      <c r="O46" s="7" t="str">
        <f t="shared" si="6"/>
        <v>-7,19423121646555-5,22691493506647i</v>
      </c>
      <c r="P46" s="7" t="str">
        <f t="shared" si="6"/>
        <v>-10,2106226593233+7,41845159941282i</v>
      </c>
      <c r="Q46" s="7" t="str">
        <f t="shared" si="6"/>
        <v>-0,491364386576028-1,5122640833195i</v>
      </c>
      <c r="R46" s="7" t="str">
        <f t="shared" si="6"/>
        <v>-9+4,05303134803914E-12i</v>
      </c>
      <c r="S46" s="7" t="str">
        <f t="shared" si="6"/>
        <v>1,10939837532619-3,41437711590969i</v>
      </c>
      <c r="T46" s="7" t="str">
        <f t="shared" si="6"/>
        <v>-7,58775121692825-5,51282395101776i</v>
      </c>
      <c r="U46" s="7" t="str">
        <f t="shared" si="6"/>
        <v>5,57619722771613-4,05134443048083i</v>
      </c>
      <c r="V46" s="7" t="str">
        <f t="shared" si="6"/>
        <v>-3,14621160420224-9,68304365870866i</v>
      </c>
      <c r="W46" s="7">
        <f t="shared" si="8"/>
        <v>-8.9972958856599001E-6</v>
      </c>
      <c r="X46" s="7">
        <f t="shared" si="9"/>
        <v>-7.1428206055382102</v>
      </c>
    </row>
    <row r="47" spans="2:24" x14ac:dyDescent="0.3">
      <c r="B47" s="4">
        <v>13</v>
      </c>
      <c r="C47" s="7" t="str">
        <f t="shared" si="7"/>
        <v>13</v>
      </c>
      <c r="D47" s="7" t="str">
        <f t="shared" si="7"/>
        <v>-5,21731932622882-16,0572577985209i</v>
      </c>
      <c r="E47" s="7" t="str">
        <f t="shared" si="7"/>
        <v>7,7500430189745-5,63073584715573i</v>
      </c>
      <c r="F47" s="7" t="str">
        <f t="shared" si="7"/>
        <v>-12,1250843025266-8,80938940143557i</v>
      </c>
      <c r="G47" s="7" t="str">
        <f t="shared" si="6"/>
        <v>2,45290752342345-7,54927310305237i</v>
      </c>
      <c r="H47" s="7" t="str">
        <f t="shared" si="6"/>
        <v>-11-1,3475917430561E-13i</v>
      </c>
      <c r="I47" s="7" t="str">
        <f t="shared" si="6"/>
        <v>-1,83487353467333-5,64716007046215i</v>
      </c>
      <c r="J47" s="7" t="str">
        <f t="shared" si="6"/>
        <v>-2,43722159622262+1,77074513982872i</v>
      </c>
      <c r="K47" s="7" t="str">
        <f t="shared" si="6"/>
        <v>-9,36807468228328-6,80630466220915i</v>
      </c>
      <c r="L47" s="7" t="str">
        <f t="shared" si="6"/>
        <v>-1,58104322728996+4,86595071219347i</v>
      </c>
      <c r="M47" s="7" t="str">
        <f t="shared" si="6"/>
        <v>-11-2,69518348611219E-13i</v>
      </c>
      <c r="N47" s="7" t="str">
        <f t="shared" si="6"/>
        <v>2,41609429455106+7,43597363460267i</v>
      </c>
      <c r="O47" s="7" t="str">
        <f t="shared" si="6"/>
        <v>-7,19423121646552+5,22691493506652i</v>
      </c>
      <c r="P47" s="7" t="str">
        <f t="shared" si="6"/>
        <v>10,2106226593228+7,41845159941344i</v>
      </c>
      <c r="Q47" s="7" t="str">
        <f t="shared" si="6"/>
        <v>-0,491364386576825+1,51226408331924i</v>
      </c>
      <c r="R47" s="7" t="str">
        <f t="shared" si="6"/>
        <v>9-5,64511328307593E-13i</v>
      </c>
      <c r="S47" s="7" t="str">
        <f t="shared" si="6"/>
        <v>1,10939837532461+3,4143771159102i</v>
      </c>
      <c r="T47" s="7" t="str">
        <f t="shared" si="6"/>
        <v>7,58775121692516-5,51282395102202i</v>
      </c>
      <c r="U47" s="7" t="str">
        <f t="shared" si="6"/>
        <v>5,57619722771461+4,05134443048292i</v>
      </c>
      <c r="V47" s="7" t="str">
        <f t="shared" si="6"/>
        <v>3,14621160419592-9,68304365871072i</v>
      </c>
      <c r="W47" s="7">
        <f t="shared" si="8"/>
        <v>1.3648165157142999E-5</v>
      </c>
      <c r="X47" s="7">
        <f t="shared" si="9"/>
        <v>-29.9999668417524</v>
      </c>
    </row>
    <row r="48" spans="2:24" x14ac:dyDescent="0.3">
      <c r="B48" s="4">
        <v>14</v>
      </c>
      <c r="C48" s="7" t="str">
        <f t="shared" si="7"/>
        <v>13</v>
      </c>
      <c r="D48" s="7" t="str">
        <f t="shared" si="7"/>
        <v>-13,6591193262289-9,9239310856052i</v>
      </c>
      <c r="E48" s="7" t="str">
        <f t="shared" si="7"/>
        <v>-2,96025301897396-9,11072198237085i</v>
      </c>
      <c r="F48" s="7" t="str">
        <f t="shared" si="7"/>
        <v>-4,63137008710677+14,2538914716563i</v>
      </c>
      <c r="G48" s="7" t="str">
        <f t="shared" si="6"/>
        <v>-6,42179526758186+4,66570736804191i</v>
      </c>
      <c r="H48" s="7" t="str">
        <f t="shared" si="6"/>
        <v>11+9,70269871392038E-14i</v>
      </c>
      <c r="I48" s="7" t="str">
        <f t="shared" si="6"/>
        <v>4,80376127883196+3,49013686345701i</v>
      </c>
      <c r="J48" s="7" t="str">
        <f t="shared" si="6"/>
        <v>-0,930935811641618-2,86512582165673i</v>
      </c>
      <c r="K48" s="7" t="str">
        <f t="shared" si="6"/>
        <v>3,57828611948456-11,0128322812413i</v>
      </c>
      <c r="L48" s="7" t="str">
        <f t="shared" si="6"/>
        <v>-4,13922490672849+3,00732292771729i</v>
      </c>
      <c r="M48" s="7" t="str">
        <f t="shared" si="6"/>
        <v>-11-1,94053974278407E-13i</v>
      </c>
      <c r="N48" s="7" t="str">
        <f t="shared" si="6"/>
        <v>6,32541698315912+4,59568444563271i</v>
      </c>
      <c r="O48" s="7" t="str">
        <f t="shared" si="6"/>
        <v>2,74795180176404+8,4573260212416i</v>
      </c>
      <c r="P48" s="7" t="str">
        <f t="shared" si="6"/>
        <v>3,90011080956728-12,0033068317448i</v>
      </c>
      <c r="Q48" s="7" t="str">
        <f t="shared" si="6"/>
        <v>1,28640866491737-0,934630603457278i</v>
      </c>
      <c r="R48" s="7" t="str">
        <f t="shared" si="6"/>
        <v>-9-2,79611099898713E-12i</v>
      </c>
      <c r="S48" s="7" t="str">
        <f t="shared" si="6"/>
        <v>-2,90444265366787-2,11020110804134i</v>
      </c>
      <c r="T48" s="7" t="str">
        <f t="shared" si="6"/>
        <v>2,89826306668592+8,91993652674701i</v>
      </c>
      <c r="U48" s="7" t="str">
        <f t="shared" si="6"/>
        <v>-2,12991781301168+6,55521298865206i</v>
      </c>
      <c r="V48" s="7" t="str">
        <f t="shared" si="6"/>
        <v>8,23688891558978-5,98445009563195i</v>
      </c>
      <c r="W48" s="7">
        <f t="shared" si="8"/>
        <v>2.8755058881557699E-5</v>
      </c>
      <c r="X48" s="7">
        <f t="shared" si="9"/>
        <v>1.88033935462073E-5</v>
      </c>
    </row>
    <row r="49" spans="2:24" x14ac:dyDescent="0.3">
      <c r="B49" s="4">
        <v>15</v>
      </c>
      <c r="C49" s="7" t="str">
        <f t="shared" si="7"/>
        <v>13</v>
      </c>
      <c r="D49" s="7" t="str">
        <f t="shared" si="7"/>
        <v>-16,8836-6,20547493598855E-15i</v>
      </c>
      <c r="E49" s="7" t="str">
        <f t="shared" si="7"/>
        <v>-9,57958+4,0136021425656E-13i</v>
      </c>
      <c r="F49" s="7" t="str">
        <f t="shared" si="7"/>
        <v>14,9874284308384+6,022321042657E-13i</v>
      </c>
      <c r="G49" s="7" t="str">
        <f t="shared" si="6"/>
        <v>7,9377754883177+1,24472518276283E-13i</v>
      </c>
      <c r="H49" s="7" t="str">
        <f t="shared" si="6"/>
        <v>-11+1,88649009608133E-14i</v>
      </c>
      <c r="I49" s="7" t="str">
        <f t="shared" si="6"/>
        <v>-5,93777548831772+1,13476915556764E-13i</v>
      </c>
      <c r="J49" s="7" t="str">
        <f t="shared" si="6"/>
        <v>3,01257156916163+1,68292842878736E-13i</v>
      </c>
      <c r="K49" s="7" t="str">
        <f t="shared" si="6"/>
        <v>11,5795771255969+3,63159458848077E-13i</v>
      </c>
      <c r="L49" s="7" t="str">
        <f t="shared" si="6"/>
        <v>-5,11636335887665-1,07809293046447E-13i</v>
      </c>
      <c r="M49" s="7" t="str">
        <f t="shared" si="6"/>
        <v>-11+3,77298019216265E-14i</v>
      </c>
      <c r="N49" s="7" t="str">
        <f t="shared" si="6"/>
        <v>7,81864537721646+1,33714889822352E-12i</v>
      </c>
      <c r="O49" s="7" t="str">
        <f t="shared" si="6"/>
        <v>8,89255882940273-4,00464663331683E-12i</v>
      </c>
      <c r="P49" s="7" t="str">
        <f t="shared" si="6"/>
        <v>-12,6210236995228+7,91634539246581E-13i</v>
      </c>
      <c r="Q49" s="7" t="str">
        <f t="shared" si="6"/>
        <v>-1,59008855668274-4,94007122522687E-13i</v>
      </c>
      <c r="R49" s="7" t="str">
        <f t="shared" si="6"/>
        <v>9-2,7961051442954E-12i</v>
      </c>
      <c r="S49" s="7" t="str">
        <f t="shared" ref="S49:V53" si="10">IMPRODUCT(S$5,IMEXP(COMPLEX(0,-2*PI()*$B49*S$4/10)))</f>
        <v>3,59008855668271+2,25185186526293E-13i</v>
      </c>
      <c r="T49" s="7" t="str">
        <f t="shared" si="10"/>
        <v>-9,37897630047711-4,35698769951284E-12i</v>
      </c>
      <c r="U49" s="7" t="str">
        <f t="shared" si="10"/>
        <v>-6,8925588294027+1,08081544749605E-12i</v>
      </c>
      <c r="V49" s="7" t="str">
        <f t="shared" si="10"/>
        <v>10,1813546227835+2,20521475643221E-12i</v>
      </c>
      <c r="W49" s="7">
        <f t="shared" si="8"/>
        <v>3.3766720312300402E-5</v>
      </c>
      <c r="X49" s="7">
        <f t="shared" si="9"/>
        <v>-4.2961737827409804E-12</v>
      </c>
    </row>
    <row r="50" spans="2:24" x14ac:dyDescent="0.3">
      <c r="B50" s="4">
        <v>16</v>
      </c>
      <c r="C50" s="7" t="str">
        <f t="shared" si="7"/>
        <v>13</v>
      </c>
      <c r="D50" s="7" t="str">
        <f t="shared" si="7"/>
        <v>-13,6591193262292+9,92393108560469i</v>
      </c>
      <c r="E50" s="7" t="str">
        <f t="shared" si="7"/>
        <v>-2,96025301897414+9,1107219823708i</v>
      </c>
      <c r="F50" s="7" t="str">
        <f t="shared" si="7"/>
        <v>-4,6313700871071-14,2538914716562i</v>
      </c>
      <c r="G50" s="7" t="str">
        <f t="shared" si="7"/>
        <v>-6,42179526758214-4,66570736804152i</v>
      </c>
      <c r="H50" s="7" t="str">
        <f t="shared" si="7"/>
        <v>11-5,65970881272193E-14i</v>
      </c>
      <c r="I50" s="7" t="str">
        <f t="shared" si="7"/>
        <v>4,80376127883215-3,49013686345674i</v>
      </c>
      <c r="J50" s="7" t="str">
        <f t="shared" si="7"/>
        <v>-0,930935811641672+2,86512582165671i</v>
      </c>
      <c r="K50" s="7" t="str">
        <f t="shared" si="7"/>
        <v>3,57828611948481+11,0128322812413i</v>
      </c>
      <c r="L50" s="7" t="str">
        <f t="shared" si="7"/>
        <v>-4,13922490672836-3,00732292771747i</v>
      </c>
      <c r="M50" s="7" t="str">
        <f t="shared" si="7"/>
        <v>-11-4,26374907602778E-12i</v>
      </c>
      <c r="N50" s="7" t="str">
        <f t="shared" si="7"/>
        <v>6,32541698315795-4,59568444563433i</v>
      </c>
      <c r="O50" s="7" t="str">
        <f t="shared" si="7"/>
        <v>2,74795180176495-8,4573260212413i</v>
      </c>
      <c r="P50" s="7" t="str">
        <f t="shared" si="7"/>
        <v>3,90011080955668+12,0033068317483i</v>
      </c>
      <c r="Q50" s="7" t="str">
        <f t="shared" si="7"/>
        <v>1,2864086649177+0,934630603456817i</v>
      </c>
      <c r="R50" s="7" t="str">
        <f t="shared" si="7"/>
        <v>-9-5,64517182999325E-13i</v>
      </c>
      <c r="S50" s="7" t="str">
        <f t="shared" si="10"/>
        <v>-2,90444265366819+2,11020110804089i</v>
      </c>
      <c r="T50" s="7" t="str">
        <f t="shared" si="10"/>
        <v>2,89826306668507-8,91993652674729i</v>
      </c>
      <c r="U50" s="7" t="str">
        <f t="shared" si="10"/>
        <v>-2,12991781301393-6,55521298865133i</v>
      </c>
      <c r="V50" s="7" t="str">
        <f t="shared" si="10"/>
        <v>8,23688891558718+5,98445009563551i</v>
      </c>
      <c r="W50" s="7">
        <f t="shared" si="8"/>
        <v>2.8755041757477801E-5</v>
      </c>
      <c r="X50" s="7">
        <f t="shared" si="9"/>
        <v>-1.8803396043764999E-5</v>
      </c>
    </row>
    <row r="51" spans="2:24" x14ac:dyDescent="0.3">
      <c r="B51" s="4">
        <v>17</v>
      </c>
      <c r="C51" s="7" t="str">
        <f t="shared" si="7"/>
        <v>13</v>
      </c>
      <c r="D51" s="7" t="str">
        <f t="shared" si="7"/>
        <v>-5,2173193262288+16,0572577985209i</v>
      </c>
      <c r="E51" s="7" t="str">
        <f t="shared" si="7"/>
        <v>7,75004301897439+5,63073584715588i</v>
      </c>
      <c r="F51" s="7" t="str">
        <f t="shared" si="7"/>
        <v>-12,1250843025264+8,80938940143585i</v>
      </c>
      <c r="G51" s="7" t="str">
        <f t="shared" si="7"/>
        <v>2,45290752342316+7,54927310305246i</v>
      </c>
      <c r="H51" s="7" t="str">
        <f t="shared" si="7"/>
        <v>-11+1,72488976227237E-13i</v>
      </c>
      <c r="I51" s="7" t="str">
        <f t="shared" si="7"/>
        <v>-1,83487353467307+5,64716007046224i</v>
      </c>
      <c r="J51" s="7" t="str">
        <f t="shared" si="7"/>
        <v>-2,4372215962226-1,77074513982875i</v>
      </c>
      <c r="K51" s="7" t="str">
        <f t="shared" si="7"/>
        <v>-9,36807468228313+6,80630466220935i</v>
      </c>
      <c r="L51" s="7" t="str">
        <f t="shared" si="7"/>
        <v>-1,58104322729031-4,86595071219335i</v>
      </c>
      <c r="M51" s="7" t="str">
        <f t="shared" si="7"/>
        <v>-11+3,44977952454473E-13i</v>
      </c>
      <c r="N51" s="7" t="str">
        <f t="shared" si="7"/>
        <v>2,41609429455297-7,43597363460206i</v>
      </c>
      <c r="O51" s="7" t="str">
        <f t="shared" si="7"/>
        <v>-7,19423121646807-5,22691493506301i</v>
      </c>
      <c r="P51" s="7" t="str">
        <f t="shared" si="7"/>
        <v>10,210622659322-7,41845159941458i</v>
      </c>
      <c r="Q51" s="7" t="str">
        <f t="shared" si="7"/>
        <v>-0,491364386575864-1,51226408331955i</v>
      </c>
      <c r="R51" s="7" t="str">
        <f t="shared" si="7"/>
        <v>9+4,18093489516769E-12i</v>
      </c>
      <c r="S51" s="7" t="str">
        <f t="shared" si="10"/>
        <v>1,10939837532513-3,41437711591003i</v>
      </c>
      <c r="T51" s="7" t="str">
        <f t="shared" si="10"/>
        <v>7,58775121692552+5,51282395102152i</v>
      </c>
      <c r="U51" s="7" t="str">
        <f t="shared" si="10"/>
        <v>5,57619722771726-4,05134443047928i</v>
      </c>
      <c r="V51" s="7" t="str">
        <f t="shared" si="10"/>
        <v>3,14621160420136+9,68304365870895i</v>
      </c>
      <c r="W51" s="7">
        <f t="shared" si="8"/>
        <v>1.3648173550428999E-5</v>
      </c>
      <c r="X51" s="7">
        <f t="shared" si="9"/>
        <v>29.9999668417612</v>
      </c>
    </row>
    <row r="52" spans="2:24" x14ac:dyDescent="0.3">
      <c r="B52" s="4">
        <v>18</v>
      </c>
      <c r="C52" s="7" t="str">
        <f t="shared" si="7"/>
        <v>13</v>
      </c>
      <c r="D52" s="7" t="str">
        <f t="shared" si="7"/>
        <v>5,21731932622956+16,0572577985206i</v>
      </c>
      <c r="E52" s="7" t="str">
        <f t="shared" si="7"/>
        <v>7,75004301897442-5,63073584715584i</v>
      </c>
      <c r="F52" s="7" t="str">
        <f t="shared" si="7"/>
        <v>12,1250843025268+8,80938940143531i</v>
      </c>
      <c r="G52" s="7" t="str">
        <f t="shared" si="7"/>
        <v>2,45290752342324-7,54927310305243i</v>
      </c>
      <c r="H52" s="7" t="str">
        <f t="shared" si="7"/>
        <v>11-2,10221163393642E-13i</v>
      </c>
      <c r="I52" s="7" t="str">
        <f t="shared" si="7"/>
        <v>-1,834873534673-5,64716007046226i</v>
      </c>
      <c r="J52" s="7" t="str">
        <f t="shared" si="7"/>
        <v>2,43722159622255-1,77074513982881i</v>
      </c>
      <c r="K52" s="7" t="str">
        <f t="shared" si="7"/>
        <v>-9,36807468228298-6,80630466220955i</v>
      </c>
      <c r="L52" s="7" t="str">
        <f t="shared" si="7"/>
        <v>1,58104322729161-4,86595071219293i</v>
      </c>
      <c r="M52" s="7" t="str">
        <f t="shared" si="7"/>
        <v>-11+4,95370498093672E-12i</v>
      </c>
      <c r="N52" s="7" t="str">
        <f t="shared" si="7"/>
        <v>-2,4160942945524-7,43597363460224i</v>
      </c>
      <c r="O52" s="7" t="str">
        <f t="shared" si="7"/>
        <v>-7,19423121646612+5,2269149350657i</v>
      </c>
      <c r="P52" s="7" t="str">
        <f t="shared" si="7"/>
        <v>-10,2106226593206-7,41845159941647i</v>
      </c>
      <c r="Q52" s="7" t="str">
        <f t="shared" si="7"/>
        <v>-0,491364386575441+1,51226408331969i</v>
      </c>
      <c r="R52" s="7" t="str">
        <f t="shared" si="7"/>
        <v>-9+1,41128124811484E-12i</v>
      </c>
      <c r="S52" s="7" t="str">
        <f t="shared" si="10"/>
        <v>1,10939837532567+3,41437711590986i</v>
      </c>
      <c r="T52" s="7" t="str">
        <f t="shared" si="10"/>
        <v>-7,58775121692774+5,51282395101847i</v>
      </c>
      <c r="U52" s="7" t="str">
        <f t="shared" si="10"/>
        <v>5,57619722771752+4,05134443047892i</v>
      </c>
      <c r="V52" s="7" t="str">
        <f t="shared" si="10"/>
        <v>-3,14621160419653+9,68304365871052i</v>
      </c>
      <c r="W52" s="7">
        <f t="shared" si="8"/>
        <v>-8.9972834431684101E-6</v>
      </c>
      <c r="X52" s="7">
        <f t="shared" si="9"/>
        <v>7.1428206055446903</v>
      </c>
    </row>
    <row r="53" spans="2:24" x14ac:dyDescent="0.3">
      <c r="B53" s="4">
        <v>19</v>
      </c>
      <c r="C53" s="7" t="str">
        <f t="shared" si="7"/>
        <v>13</v>
      </c>
      <c r="D53" s="7" t="str">
        <f t="shared" si="7"/>
        <v>13,6591193262287+9,9239310856054i</v>
      </c>
      <c r="E53" s="7" t="str">
        <f t="shared" si="7"/>
        <v>-2,9602530189741-9,11072198237082i</v>
      </c>
      <c r="F53" s="7" t="str">
        <f t="shared" si="7"/>
        <v>4,63137008710789-14,2538914716559i</v>
      </c>
      <c r="G53" s="7" t="str">
        <f t="shared" si="7"/>
        <v>-6,42179526758172+4,66570736804209i</v>
      </c>
      <c r="H53" s="7" t="str">
        <f t="shared" si="7"/>
        <v>-11+3,26113051493659E-13i</v>
      </c>
      <c r="I53" s="7" t="str">
        <f t="shared" si="7"/>
        <v>4,8037612788321+3,4901368634568i</v>
      </c>
      <c r="J53" s="7" t="str">
        <f t="shared" si="7"/>
        <v>0,930935811641748+2,86512582165669i</v>
      </c>
      <c r="K53" s="7" t="str">
        <f t="shared" si="7"/>
        <v>3,57828611948504-11,0128322812412i</v>
      </c>
      <c r="L53" s="7" t="str">
        <f t="shared" si="7"/>
        <v>4,13922490672827-3,0073229277176i</v>
      </c>
      <c r="M53" s="7" t="str">
        <f t="shared" si="7"/>
        <v>-11-1,53624552315379E-12i</v>
      </c>
      <c r="N53" s="7" t="str">
        <f t="shared" si="7"/>
        <v>-6,32541698315753-4,5956844456349i</v>
      </c>
      <c r="O53" s="7" t="str">
        <f t="shared" si="7"/>
        <v>2,74795180176811+8,45732602124027i</v>
      </c>
      <c r="P53" s="7" t="str">
        <f t="shared" si="7"/>
        <v>-3,9001108095589+12,0033068317476i</v>
      </c>
      <c r="Q53" s="7" t="str">
        <f t="shared" si="7"/>
        <v>1,28640866491747-0,93463060345714i</v>
      </c>
      <c r="R53" s="7" t="str">
        <f t="shared" si="7"/>
        <v>9+1,94934107917988E-12i</v>
      </c>
      <c r="S53" s="7" t="str">
        <f t="shared" si="10"/>
        <v>-2,90444265366642-2,11020110804333i</v>
      </c>
      <c r="T53" s="7" t="str">
        <f t="shared" si="10"/>
        <v>-2,89826306669036-8,91993652674557i</v>
      </c>
      <c r="U53" s="7" t="str">
        <f t="shared" si="10"/>
        <v>-2,12991781301351+6,55521298865146i</v>
      </c>
      <c r="V53" s="7" t="str">
        <f t="shared" si="10"/>
        <v>-8,23688891559016+5,98445009563143i</v>
      </c>
      <c r="W53" s="7">
        <f t="shared" si="8"/>
        <v>-3.0531523378840602E-5</v>
      </c>
      <c r="X53" s="7">
        <f t="shared" si="9"/>
        <v>-2.42708339781572E-5</v>
      </c>
    </row>
  </sheetData>
  <mergeCells count="2">
    <mergeCell ref="W4:X4"/>
    <mergeCell ref="W32:X3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Acer Aspire 5</cp:lastModifiedBy>
  <dcterms:created xsi:type="dcterms:W3CDTF">2025-04-29T14:52:20Z</dcterms:created>
  <dcterms:modified xsi:type="dcterms:W3CDTF">2025-04-30T10:22:27Z</dcterms:modified>
</cp:coreProperties>
</file>