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elix\Semester4\Citra\Citra\Pertemuan\"/>
    </mc:Choice>
  </mc:AlternateContent>
  <xr:revisionPtr revIDLastSave="0" documentId="13_ncr:1_{E5BEE72B-DD57-4932-B33D-179239F35DB0}" xr6:coauthVersionLast="47" xr6:coauthVersionMax="47" xr10:uidLastSave="{00000000-0000-0000-0000-000000000000}"/>
  <bookViews>
    <workbookView xWindow="-108" yWindow="-108" windowWidth="23256" windowHeight="12456" xr2:uid="{0336C11C-DAF8-4F5F-980A-868643D6755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1" l="1"/>
  <c r="M15" i="1"/>
  <c r="L15" i="1"/>
  <c r="K15" i="1"/>
  <c r="J15" i="1"/>
  <c r="I15" i="1"/>
  <c r="H15" i="1"/>
  <c r="G15" i="1"/>
  <c r="F15" i="1"/>
  <c r="E15" i="1"/>
  <c r="D15" i="1"/>
  <c r="C15" i="1"/>
  <c r="M14" i="1"/>
  <c r="L14" i="1"/>
  <c r="K14" i="1"/>
  <c r="J14" i="1"/>
  <c r="I14" i="1"/>
  <c r="H14" i="1"/>
  <c r="G14" i="1"/>
  <c r="F14" i="1"/>
  <c r="E14" i="1"/>
  <c r="D14" i="1"/>
  <c r="C14" i="1"/>
  <c r="M13" i="1"/>
  <c r="L13" i="1"/>
  <c r="K13" i="1"/>
  <c r="J13" i="1"/>
  <c r="I13" i="1"/>
  <c r="H13" i="1"/>
  <c r="G13" i="1"/>
  <c r="F13" i="1"/>
  <c r="E13" i="1"/>
  <c r="D13" i="1"/>
  <c r="C13" i="1"/>
  <c r="M12" i="1"/>
  <c r="L12" i="1"/>
  <c r="K12" i="1"/>
  <c r="J12" i="1"/>
  <c r="I12" i="1"/>
  <c r="H12" i="1"/>
  <c r="G12" i="1"/>
  <c r="F12" i="1"/>
  <c r="E12" i="1"/>
  <c r="D12" i="1"/>
  <c r="C12" i="1"/>
  <c r="M11" i="1"/>
  <c r="L11" i="1"/>
  <c r="K11" i="1"/>
  <c r="J11" i="1"/>
  <c r="I11" i="1"/>
  <c r="H11" i="1"/>
  <c r="G11" i="1"/>
  <c r="F11" i="1"/>
  <c r="E11" i="1"/>
  <c r="D11" i="1"/>
  <c r="C11" i="1"/>
  <c r="M10" i="1"/>
  <c r="L10" i="1"/>
  <c r="K10" i="1"/>
  <c r="J10" i="1"/>
  <c r="I10" i="1"/>
  <c r="H10" i="1"/>
  <c r="G10" i="1"/>
  <c r="F10" i="1"/>
  <c r="E10" i="1"/>
  <c r="D10" i="1"/>
  <c r="C10" i="1"/>
  <c r="M9" i="1"/>
  <c r="L9" i="1"/>
  <c r="K9" i="1"/>
  <c r="J9" i="1"/>
  <c r="I9" i="1"/>
  <c r="H9" i="1"/>
  <c r="G9" i="1"/>
  <c r="F9" i="1"/>
  <c r="E9" i="1"/>
  <c r="D9" i="1"/>
  <c r="C9" i="1"/>
  <c r="M8" i="1"/>
  <c r="L8" i="1"/>
  <c r="K8" i="1"/>
  <c r="J8" i="1"/>
  <c r="I8" i="1"/>
  <c r="H8" i="1"/>
  <c r="G8" i="1"/>
  <c r="F8" i="1"/>
  <c r="E8" i="1"/>
  <c r="D8" i="1"/>
  <c r="C8" i="1"/>
  <c r="M7" i="1"/>
  <c r="L7" i="1"/>
  <c r="K7" i="1"/>
  <c r="J7" i="1"/>
  <c r="I7" i="1"/>
  <c r="H7" i="1"/>
  <c r="G7" i="1"/>
  <c r="F7" i="1"/>
  <c r="E7" i="1"/>
  <c r="D7" i="1"/>
  <c r="C7" i="1"/>
  <c r="M6" i="1"/>
  <c r="L6" i="1"/>
  <c r="K6" i="1"/>
  <c r="J6" i="1"/>
  <c r="I6" i="1"/>
  <c r="H6" i="1"/>
  <c r="G6" i="1"/>
  <c r="F6" i="1"/>
  <c r="E6" i="1"/>
  <c r="C6" i="1"/>
  <c r="M16" i="1"/>
  <c r="L16" i="1"/>
  <c r="K16" i="1"/>
  <c r="J16" i="1"/>
  <c r="I16" i="1"/>
  <c r="H16" i="1"/>
  <c r="G16" i="1"/>
  <c r="F16" i="1"/>
  <c r="E16" i="1"/>
  <c r="D16" i="1"/>
  <c r="C16" i="1"/>
</calcChain>
</file>

<file path=xl/sharedStrings.xml><?xml version="1.0" encoding="utf-8"?>
<sst xmlns="http://schemas.openxmlformats.org/spreadsheetml/2006/main" count="3" uniqueCount="3">
  <si>
    <t>f</t>
  </si>
  <si>
    <t>F</t>
  </si>
  <si>
    <t>idx_f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</si>
</sst>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0.00000"/>
  </numFmts>
  <fonts count="3" x14ac:knownFonts="1">
    <font>
      <sz val="11"/>
      <color theme="1"/>
      <name val="Calibri"/>
      <family val="2"/>
      <scheme val="minor"/>
    </font>
    <font>
      <sz val="12"/>
      <color theme="1"/>
      <name val="Cambria Math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1" fillId="0" borderId="0" xfId="0" applyNumberFormat="1" applyFont="1"/>
    <xf numFmtId="16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F168C-582A-493D-ABF9-7B887A24CB92}">
  <dimension ref="B4:M16"/>
  <sheetViews>
    <sheetView tabSelected="1" workbookViewId="0">
      <selection activeCell="C6" sqref="C6"/>
    </sheetView>
  </sheetViews>
  <sheetFormatPr defaultRowHeight="14.4" x14ac:dyDescent="0.3"/>
  <cols>
    <col min="3" max="3" width="9.21875" bestFit="1" customWidth="1"/>
    <col min="4" max="7" width="27.44140625" bestFit="1" customWidth="1"/>
    <col min="8" max="8" width="9.33203125" bestFit="1" customWidth="1"/>
    <col min="9" max="10" width="28.109375" bestFit="1" customWidth="1"/>
    <col min="11" max="11" width="26.77734375" bestFit="1" customWidth="1"/>
    <col min="12" max="12" width="25.44140625" bestFit="1" customWidth="1"/>
    <col min="13" max="13" width="24.44140625" customWidth="1"/>
  </cols>
  <sheetData>
    <row r="4" spans="2:13" x14ac:dyDescent="0.3">
      <c r="B4" t="s">
        <v>2</v>
      </c>
      <c r="C4">
        <v>0</v>
      </c>
      <c r="D4">
        <v>1</v>
      </c>
      <c r="E4">
        <v>2</v>
      </c>
      <c r="F4">
        <v>3</v>
      </c>
      <c r="G4">
        <v>4</v>
      </c>
      <c r="H4">
        <v>5</v>
      </c>
      <c r="I4">
        <v>6</v>
      </c>
      <c r="J4">
        <v>7</v>
      </c>
      <c r="K4">
        <v>8</v>
      </c>
      <c r="L4">
        <v>9</v>
      </c>
    </row>
    <row r="5" spans="2:13" ht="92.4" x14ac:dyDescent="4.5999999999999996">
      <c r="B5" t="s">
        <v>0</v>
      </c>
      <c r="C5" s="1">
        <v>4</v>
      </c>
      <c r="D5" s="2">
        <v>4.0670999999999999</v>
      </c>
      <c r="E5" s="2">
        <v>7.5978000000000003</v>
      </c>
      <c r="F5" s="2">
        <v>6.3617999999999997</v>
      </c>
      <c r="G5" s="2">
        <v>0.83099999999999996</v>
      </c>
      <c r="H5" s="2">
        <v>0</v>
      </c>
      <c r="I5" s="2">
        <v>-6.7100000000000007E-2</v>
      </c>
      <c r="J5" s="2">
        <v>-3.5977999999999999</v>
      </c>
      <c r="K5" s="2">
        <v>-2.3618000000000001</v>
      </c>
      <c r="L5" s="2">
        <v>3.169</v>
      </c>
      <c r="M5" t="s">
        <v>1</v>
      </c>
    </row>
    <row r="6" spans="2:13" x14ac:dyDescent="0.3">
      <c r="B6">
        <v>0</v>
      </c>
      <c r="C6" t="str">
        <f t="shared" ref="C6:C15" si="0">IMPRODUCT(C$5, IMEXP(COMPLEX(0, -2*PI()*$B7*C$4/10)))</f>
        <v>4</v>
      </c>
      <c r="D6" t="str">
        <f>IMPRODUCT(D$5, IMEXP(COMPLEX(0, -2*PI()*$B7*D$4/10)))</f>
        <v>3,29035301782235-2,39058139959872i</v>
      </c>
      <c r="E6" t="str">
        <f t="shared" ref="E6:E15" si="1">IMPRODUCT(E$5, IMEXP(COMPLEX(0, -2*PI()*$B7*E$4/10)))</f>
        <v>2,34784931986196-7,22593719950732i</v>
      </c>
      <c r="F6" t="str">
        <f t="shared" ref="F6:F15" si="2">IMPRODUCT(F$5, IMEXP(COMPLEX(0, -2*PI()*$B7*F$4/10)))</f>
        <v>-1,96590431481456-6,0504313453665i</v>
      </c>
      <c r="G6" t="str">
        <f t="shared" ref="G6:G15" si="3">IMPRODUCT(G$5, IMEXP(COMPLEX(0, -2*PI()*$B7*G$4/10)))</f>
        <v>-0,672293122325579-0,488449544655048i</v>
      </c>
      <c r="H6" t="str">
        <f t="shared" ref="H6:H15" si="4">IMPRODUCT(H$5, IMEXP(COMPLEX(0, -2*PI()*$B7*H$4/10)))</f>
        <v>0</v>
      </c>
      <c r="I6" t="str">
        <f t="shared" ref="I6:I15" si="5">IMPRODUCT(I$5, IMEXP(COMPLEX(0, -2*PI()*$B7*I$4/10)))</f>
        <v>0,0542850403225591-0,0394403904288249i</v>
      </c>
      <c r="J6" t="str">
        <f t="shared" ref="J6:J15" si="6">IMPRODUCT(J$5, IMEXP(COMPLEX(0, -2*PI()*$B7*J$4/10)))</f>
        <v>1,11178134236219-3,42171113432671i</v>
      </c>
      <c r="K6" t="str">
        <f t="shared" ref="K6:K15" si="7">IMPRODUCT(K$5, IMEXP(COMPLEX(0, -2*PI()*$B7*K$4/10)))</f>
        <v>-0,729836337314752-2,24620528018589i</v>
      </c>
      <c r="L6" t="str">
        <f t="shared" ref="L6:L15" si="8">IMPRODUCT(L$5, IMEXP(COMPLEX(0, -2*PI()*$B7*L$4/10)))</f>
        <v>2,56377485517421+1,86269146451484i</v>
      </c>
      <c r="M6" t="e">
        <f t="shared" ref="M6:M15" si="9">IMPRODUCT(M$5, IMEXP(COMPLEX(0, -2*PI()*$B7*M$4/10)))</f>
        <v>#NUM!</v>
      </c>
    </row>
    <row r="7" spans="2:13" x14ac:dyDescent="0.3">
      <c r="B7">
        <v>1</v>
      </c>
      <c r="C7" t="str">
        <f t="shared" si="0"/>
        <v>4</v>
      </c>
      <c r="D7" t="str">
        <f t="shared" ref="D7:D15" si="10">IMPRODUCT(D$5, IMEXP(COMPLEX(0, -2*PI()*$B8*D$4/10)))</f>
        <v>1,25680301782234-3,86804195742402i</v>
      </c>
      <c r="E7" t="str">
        <f t="shared" si="1"/>
        <v>-6,14674931986196-4,46587478986778i</v>
      </c>
      <c r="F7" t="str">
        <f t="shared" si="2"/>
        <v>-5,14680431481455+3,73937221803425i</v>
      </c>
      <c r="G7" t="str">
        <f t="shared" si="3"/>
        <v>0,256793122325582+0,790327965041272i</v>
      </c>
      <c r="H7" t="str">
        <f t="shared" si="4"/>
        <v>0</v>
      </c>
      <c r="I7" t="str">
        <f t="shared" si="5"/>
        <v>-0,0207350403225592+0,0638158922434047i</v>
      </c>
      <c r="J7" t="str">
        <f t="shared" si="6"/>
        <v>2,91068134236218+2,11473378069786i</v>
      </c>
      <c r="K7" t="str">
        <f t="shared" si="7"/>
        <v>1,9107363373148-1,38823120886429i</v>
      </c>
      <c r="L7" t="str">
        <f t="shared" si="8"/>
        <v>0,97927485517434+3,0138981001393i</v>
      </c>
      <c r="M7" t="e">
        <f t="shared" si="9"/>
        <v>#NUM!</v>
      </c>
    </row>
    <row r="8" spans="2:13" x14ac:dyDescent="0.3">
      <c r="B8">
        <v>2</v>
      </c>
      <c r="C8" t="str">
        <f t="shared" si="0"/>
        <v>4</v>
      </c>
      <c r="D8" t="str">
        <f t="shared" si="10"/>
        <v>-1,25680301782236-3,86804195742401i</v>
      </c>
      <c r="E8" t="str">
        <f t="shared" si="1"/>
        <v>-6,14674931986199+4,46587478986774i</v>
      </c>
      <c r="F8" t="str">
        <f t="shared" si="2"/>
        <v>5,14680431481455+3,73937221803424i</v>
      </c>
      <c r="G8" t="str">
        <f t="shared" si="3"/>
        <v>0,256793122325584-0,790327965041271i</v>
      </c>
      <c r="H8" t="str">
        <f t="shared" si="4"/>
        <v>0</v>
      </c>
      <c r="I8" t="str">
        <f t="shared" si="5"/>
        <v>-0,0207350403225618-0,0638158922434039i</v>
      </c>
      <c r="J8" t="str">
        <f t="shared" si="6"/>
        <v>-2,91068134236226+2,11473378069777i</v>
      </c>
      <c r="K8" t="str">
        <f t="shared" si="7"/>
        <v>1,91073633731474+1,38823120886438i</v>
      </c>
      <c r="L8" t="str">
        <f t="shared" si="8"/>
        <v>-0,979274855174156+3,01389810013936i</v>
      </c>
      <c r="M8" t="e">
        <f t="shared" si="9"/>
        <v>#NUM!</v>
      </c>
    </row>
    <row r="9" spans="2:13" x14ac:dyDescent="0.3">
      <c r="B9">
        <v>3</v>
      </c>
      <c r="C9" t="str">
        <f t="shared" si="0"/>
        <v>4</v>
      </c>
      <c r="D9" t="str">
        <f t="shared" si="10"/>
        <v>-3,29035301782234-2,39058139959873i</v>
      </c>
      <c r="E9" t="str">
        <f t="shared" si="1"/>
        <v>2,34784931986198+7,22593719950731i</v>
      </c>
      <c r="F9" t="str">
        <f t="shared" si="2"/>
        <v>1,96590431481456-6,0504313453665i</v>
      </c>
      <c r="G9" t="str">
        <f t="shared" si="3"/>
        <v>-0,6722931223256+0,48844954465502i</v>
      </c>
      <c r="H9" t="str">
        <f t="shared" si="4"/>
        <v>0</v>
      </c>
      <c r="I9" t="str">
        <f t="shared" si="5"/>
        <v>0,0542850403225587+0,0394403904288253i</v>
      </c>
      <c r="J9" t="str">
        <f t="shared" si="6"/>
        <v>-1,11178134236204-3,42171113432675i</v>
      </c>
      <c r="K9" t="str">
        <f t="shared" si="7"/>
        <v>-0,729836337314698+2,24620528018591i</v>
      </c>
      <c r="L9" t="str">
        <f t="shared" si="8"/>
        <v>-2,56377485517423+1,86269146451482i</v>
      </c>
      <c r="M9" t="e">
        <f t="shared" si="9"/>
        <v>#NUM!</v>
      </c>
    </row>
    <row r="10" spans="2:13" x14ac:dyDescent="0.3">
      <c r="B10">
        <v>4</v>
      </c>
      <c r="C10" t="str">
        <f t="shared" si="0"/>
        <v>4</v>
      </c>
      <c r="D10" t="str">
        <f t="shared" si="10"/>
        <v>-4,0671-1,31413667057642E-14i</v>
      </c>
      <c r="E10" t="str">
        <f t="shared" si="1"/>
        <v>7,5978-2,51311214026495E-14i</v>
      </c>
      <c r="F10" t="str">
        <f t="shared" si="2"/>
        <v>-6,3618-2,3382448321313E-15i</v>
      </c>
      <c r="G10" t="str">
        <f t="shared" si="3"/>
        <v>0,831-2,32112011902541E-14i</v>
      </c>
      <c r="H10" t="str">
        <f t="shared" si="4"/>
        <v>0</v>
      </c>
      <c r="I10" t="str">
        <f t="shared" si="5"/>
        <v>-0,0671+2,81132057737554E-15i</v>
      </c>
      <c r="J10" t="str">
        <f t="shared" si="6"/>
        <v>3,5978-1,75861858452489E-13i</v>
      </c>
      <c r="K10" t="str">
        <f t="shared" si="7"/>
        <v>-2,3618-1,11395233662326E-13i</v>
      </c>
      <c r="L10" t="str">
        <f t="shared" si="8"/>
        <v>-3,169-1,27338292037552E-13i</v>
      </c>
      <c r="M10" t="e">
        <f t="shared" si="9"/>
        <v>#NUM!</v>
      </c>
    </row>
    <row r="11" spans="2:13" x14ac:dyDescent="0.3">
      <c r="B11">
        <v>5</v>
      </c>
      <c r="C11" t="str">
        <f t="shared" si="0"/>
        <v>4</v>
      </c>
      <c r="D11" t="str">
        <f t="shared" si="10"/>
        <v>-3,29035301782236+2,39058139959871i</v>
      </c>
      <c r="E11" t="str">
        <f t="shared" si="1"/>
        <v>2,347849319862-7,22593719950731i</v>
      </c>
      <c r="F11" t="str">
        <f t="shared" si="2"/>
        <v>1,9659043148148+6,05043134536642i</v>
      </c>
      <c r="G11" t="str">
        <f t="shared" si="3"/>
        <v>-0,672293122325578-0,48844954465505i</v>
      </c>
      <c r="H11" t="str">
        <f t="shared" si="4"/>
        <v>0</v>
      </c>
      <c r="I11" t="str">
        <f t="shared" si="5"/>
        <v>0,0542850403225594-0,0394403904288243i</v>
      </c>
      <c r="J11" t="str">
        <f t="shared" si="6"/>
        <v>-1,11178134236205+3,42171113432674i</v>
      </c>
      <c r="K11" t="str">
        <f t="shared" si="7"/>
        <v>-0,729836337314717-2,2462052801859i</v>
      </c>
      <c r="L11" t="str">
        <f t="shared" si="8"/>
        <v>-2,56377485517427-1,86269146451476i</v>
      </c>
      <c r="M11" t="e">
        <f t="shared" si="9"/>
        <v>#NUM!</v>
      </c>
    </row>
    <row r="12" spans="2:13" x14ac:dyDescent="0.3">
      <c r="B12">
        <v>6</v>
      </c>
      <c r="C12" t="str">
        <f t="shared" si="0"/>
        <v>4</v>
      </c>
      <c r="D12" t="str">
        <f t="shared" si="10"/>
        <v>-1,25680301782235+3,86804195742402i</v>
      </c>
      <c r="E12" t="str">
        <f t="shared" si="1"/>
        <v>-6,14674931986197-4,46587478986775i</v>
      </c>
      <c r="F12" t="str">
        <f t="shared" si="2"/>
        <v>5,14680431481466-3,73937221803409i</v>
      </c>
      <c r="G12" t="str">
        <f t="shared" si="3"/>
        <v>0,256793122325547+0,790327965041284i</v>
      </c>
      <c r="H12" t="str">
        <f t="shared" si="4"/>
        <v>0</v>
      </c>
      <c r="I12" t="str">
        <f t="shared" si="5"/>
        <v>-0,0207350403225565+0,0638158922434056i</v>
      </c>
      <c r="J12" t="str">
        <f t="shared" si="6"/>
        <v>-2,91068134236224-2,11473378069778i</v>
      </c>
      <c r="K12" t="str">
        <f t="shared" si="7"/>
        <v>1,91073633731473-1,38823120886439i</v>
      </c>
      <c r="L12" t="str">
        <f t="shared" si="8"/>
        <v>-0,979274855174213-3,01389810013934i</v>
      </c>
      <c r="M12" t="e">
        <f t="shared" si="9"/>
        <v>#NUM!</v>
      </c>
    </row>
    <row r="13" spans="2:13" x14ac:dyDescent="0.3">
      <c r="B13">
        <v>7</v>
      </c>
      <c r="C13" t="str">
        <f t="shared" si="0"/>
        <v>4</v>
      </c>
      <c r="D13" t="str">
        <f t="shared" si="10"/>
        <v>1,25680301782235+3,86804195742402i</v>
      </c>
      <c r="E13" t="str">
        <f t="shared" si="1"/>
        <v>-6,14674931986215+4,46587478986752i</v>
      </c>
      <c r="F13" t="str">
        <f t="shared" si="2"/>
        <v>-5,14680431481451-3,73937221803429i</v>
      </c>
      <c r="G13" t="str">
        <f t="shared" si="3"/>
        <v>0,256793122325563-0,790327965041279i</v>
      </c>
      <c r="H13" t="str">
        <f t="shared" si="4"/>
        <v>0</v>
      </c>
      <c r="I13" t="str">
        <f t="shared" si="5"/>
        <v>-0,020735040322558-0,0638158922434051i</v>
      </c>
      <c r="J13" t="str">
        <f t="shared" si="6"/>
        <v>2,91068134236216-2,1147337806979i</v>
      </c>
      <c r="K13" t="str">
        <f t="shared" si="7"/>
        <v>1,91073633731482+1,38823120886427i</v>
      </c>
      <c r="L13" t="str">
        <f t="shared" si="8"/>
        <v>0,979274855174277-3,01389810013932i</v>
      </c>
      <c r="M13" t="e">
        <f t="shared" si="9"/>
        <v>#NUM!</v>
      </c>
    </row>
    <row r="14" spans="2:13" x14ac:dyDescent="0.3">
      <c r="B14">
        <v>8</v>
      </c>
      <c r="C14" t="str">
        <f t="shared" si="0"/>
        <v>4</v>
      </c>
      <c r="D14" t="str">
        <f t="shared" si="10"/>
        <v>3,29035301782236+2,39058139959871i</v>
      </c>
      <c r="E14" t="str">
        <f t="shared" si="1"/>
        <v>2,34784931986229+7,22593719950722i</v>
      </c>
      <c r="F14" t="str">
        <f t="shared" si="2"/>
        <v>-1,96590431481444+6,05043134536654i</v>
      </c>
      <c r="G14" t="str">
        <f t="shared" si="3"/>
        <v>-0,672293122325587+0,488449544655038i</v>
      </c>
      <c r="H14" t="str">
        <f t="shared" si="4"/>
        <v>0</v>
      </c>
      <c r="I14" t="str">
        <f t="shared" si="5"/>
        <v>0,0542850403225604+0,0394403904288231i</v>
      </c>
      <c r="J14" t="str">
        <f t="shared" si="6"/>
        <v>1,11178134236219+3,4217111343267i</v>
      </c>
      <c r="K14" t="str">
        <f t="shared" si="7"/>
        <v>-0,729836337314802+2,24620528018588i</v>
      </c>
      <c r="L14" t="str">
        <f t="shared" si="8"/>
        <v>2,5637748551743-1,86269146451472i</v>
      </c>
      <c r="M14" t="e">
        <f t="shared" si="9"/>
        <v>#NUM!</v>
      </c>
    </row>
    <row r="15" spans="2:13" x14ac:dyDescent="0.3">
      <c r="B15">
        <v>9</v>
      </c>
      <c r="C15" t="str">
        <f t="shared" si="0"/>
        <v>4</v>
      </c>
      <c r="D15" t="str">
        <f t="shared" si="10"/>
        <v>4,0671</v>
      </c>
      <c r="E15" t="str">
        <f t="shared" si="1"/>
        <v>7,5978</v>
      </c>
      <c r="F15" t="str">
        <f t="shared" si="2"/>
        <v>6,3618</v>
      </c>
      <c r="G15" t="str">
        <f t="shared" si="3"/>
        <v>0,831</v>
      </c>
      <c r="H15" t="str">
        <f t="shared" si="4"/>
        <v>0</v>
      </c>
      <c r="I15" t="str">
        <f t="shared" si="5"/>
        <v>-0,0671</v>
      </c>
      <c r="J15" t="str">
        <f t="shared" si="6"/>
        <v>-3,5978</v>
      </c>
      <c r="K15" t="str">
        <f t="shared" si="7"/>
        <v>-2,3618</v>
      </c>
      <c r="L15" t="str">
        <f t="shared" si="8"/>
        <v>3,169</v>
      </c>
      <c r="M15" t="e">
        <f t="shared" si="9"/>
        <v>#NUM!</v>
      </c>
    </row>
    <row r="16" spans="2:13" x14ac:dyDescent="0.3">
      <c r="C16" t="str">
        <f t="shared" ref="C6:C16" si="11">IMPRODUCT(C$5, IMEXP(COMPLEX(0, -2*PI()*$B17*C$4)))</f>
        <v>4</v>
      </c>
      <c r="D16" t="str">
        <f t="shared" ref="D7:D16" si="12">IMPRODUCT(D$5, IMEXP(COMPLEX(0, -2*PI()*$B17*D$4)))</f>
        <v>4,0671</v>
      </c>
      <c r="E16" t="str">
        <f t="shared" ref="E6:E16" si="13">IMPRODUCT(E$5, IMEXP(COMPLEX(0, -2*PI()*$B17*E$4)))</f>
        <v>7,5978</v>
      </c>
      <c r="F16" t="str">
        <f t="shared" ref="F6:F16" si="14">IMPRODUCT(F$5, IMEXP(COMPLEX(0, -2*PI()*$B17*F$4)))</f>
        <v>6,3618</v>
      </c>
      <c r="G16" t="str">
        <f t="shared" ref="G6:G16" si="15">IMPRODUCT(G$5, IMEXP(COMPLEX(0, -2*PI()*$B17*G$4)))</f>
        <v>0,831</v>
      </c>
      <c r="H16" t="str">
        <f t="shared" ref="H6:H16" si="16">IMPRODUCT(H$5, IMEXP(COMPLEX(0, -2*PI()*$B17*H$4)))</f>
        <v>0</v>
      </c>
      <c r="I16" t="str">
        <f t="shared" ref="I6:I16" si="17">IMPRODUCT(I$5, IMEXP(COMPLEX(0, -2*PI()*$B17*I$4)))</f>
        <v>-0,0671</v>
      </c>
      <c r="J16" t="str">
        <f t="shared" ref="J6:J16" si="18">IMPRODUCT(J$5, IMEXP(COMPLEX(0, -2*PI()*$B17*J$4)))</f>
        <v>-3,5978</v>
      </c>
      <c r="K16" t="str">
        <f t="shared" ref="K6:K16" si="19">IMPRODUCT(K$5, IMEXP(COMPLEX(0, -2*PI()*$B17*K$4)))</f>
        <v>-2,3618</v>
      </c>
      <c r="L16" t="str">
        <f t="shared" ref="L6:L16" si="20">IMPRODUCT(L$5, IMEXP(COMPLEX(0, -2*PI()*$B17*L$4)))</f>
        <v>3,169</v>
      </c>
      <c r="M16" t="e">
        <f t="shared" ref="M6:M16" si="21">IMPRODUCT(M$5, IMEXP(COMPLEX(0, -2*PI()*$B17*M$4)))</f>
        <v>#NUM!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 Aspire 5</dc:creator>
  <cp:lastModifiedBy>Acer Aspire 5</cp:lastModifiedBy>
  <dcterms:created xsi:type="dcterms:W3CDTF">2025-04-29T12:22:08Z</dcterms:created>
  <dcterms:modified xsi:type="dcterms:W3CDTF">2025-04-29T13:45:23Z</dcterms:modified>
</cp:coreProperties>
</file>