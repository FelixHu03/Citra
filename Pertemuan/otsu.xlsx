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ix\Semester4\Citra\Citra\Pertemuan\"/>
    </mc:Choice>
  </mc:AlternateContent>
  <xr:revisionPtr revIDLastSave="0" documentId="13_ncr:1_{AF13CE26-473E-43E6-B895-5D96A338F127}" xr6:coauthVersionLast="47" xr6:coauthVersionMax="47" xr10:uidLastSave="{00000000-0000-0000-0000-000000000000}"/>
  <bookViews>
    <workbookView xWindow="-108" yWindow="-108" windowWidth="23256" windowHeight="12456" xr2:uid="{C441D82A-AE0C-4854-B25E-599D7674D5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5" i="1"/>
  <c r="D19" i="1"/>
  <c r="E19" i="1"/>
  <c r="D16" i="1"/>
  <c r="E16" i="1"/>
  <c r="E18" i="1"/>
  <c r="D18" i="1"/>
  <c r="D17" i="1"/>
  <c r="G16" i="1"/>
  <c r="F16" i="1"/>
  <c r="G13" i="1"/>
  <c r="G14" i="1" s="1"/>
  <c r="E13" i="1"/>
  <c r="E14" i="1" s="1"/>
  <c r="F13" i="1"/>
  <c r="F14" i="1" s="1"/>
  <c r="D13" i="1"/>
  <c r="H13" i="1" l="1"/>
  <c r="D14" i="1"/>
</calcChain>
</file>

<file path=xl/sharedStrings.xml><?xml version="1.0" encoding="utf-8"?>
<sst xmlns="http://schemas.openxmlformats.org/spreadsheetml/2006/main" count="9" uniqueCount="9">
  <si>
    <t>n</t>
  </si>
  <si>
    <t>total</t>
  </si>
  <si>
    <t>t</t>
  </si>
  <si>
    <t>wb</t>
  </si>
  <si>
    <t>wf</t>
  </si>
  <si>
    <t>mean_b</t>
  </si>
  <si>
    <t>mean_f</t>
  </si>
  <si>
    <t>i*f</t>
  </si>
  <si>
    <t>otsu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</si>
</sst>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0" xfId="0"/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A870-B574-4C33-9638-E1628A039634}">
  <dimension ref="B3:I19"/>
  <sheetViews>
    <sheetView tabSelected="1" workbookViewId="0">
      <selection activeCell="H17" sqref="H17"/>
    </sheetView>
  </sheetViews>
  <sheetFormatPr defaultRowHeight="14.4" x14ac:dyDescent="0.3"/>
  <sheetData>
    <row r="3" spans="2:9" x14ac:dyDescent="0.3">
      <c r="B3" s="2">
        <v>0</v>
      </c>
      <c r="C3" s="2">
        <v>0</v>
      </c>
      <c r="D3" s="4">
        <v>1</v>
      </c>
      <c r="E3" s="4">
        <v>1</v>
      </c>
      <c r="F3" s="1">
        <v>3</v>
      </c>
      <c r="G3" s="1">
        <v>3</v>
      </c>
      <c r="H3" s="1">
        <v>3</v>
      </c>
      <c r="I3" s="1">
        <v>3</v>
      </c>
    </row>
    <row r="4" spans="2:9" x14ac:dyDescent="0.3">
      <c r="B4" s="4">
        <v>1</v>
      </c>
      <c r="C4" s="4">
        <v>1</v>
      </c>
      <c r="D4" s="5">
        <v>2</v>
      </c>
      <c r="E4" s="5">
        <v>2</v>
      </c>
      <c r="F4" s="1">
        <v>3</v>
      </c>
      <c r="G4" s="1">
        <v>3</v>
      </c>
      <c r="H4" s="2">
        <v>0</v>
      </c>
      <c r="I4" s="2">
        <v>0</v>
      </c>
    </row>
    <row r="5" spans="2:9" x14ac:dyDescent="0.3">
      <c r="B5" s="2">
        <v>0</v>
      </c>
      <c r="C5" s="2">
        <v>0</v>
      </c>
      <c r="D5" s="1">
        <v>3</v>
      </c>
      <c r="E5" s="1">
        <v>3</v>
      </c>
      <c r="F5" s="5">
        <v>2</v>
      </c>
      <c r="G5" s="5">
        <v>2</v>
      </c>
      <c r="H5" s="1">
        <v>1</v>
      </c>
      <c r="I5" s="4">
        <v>1</v>
      </c>
    </row>
    <row r="6" spans="2:9" x14ac:dyDescent="0.3">
      <c r="B6" s="2">
        <v>0</v>
      </c>
      <c r="C6" s="2">
        <v>0</v>
      </c>
      <c r="D6" s="2">
        <v>0</v>
      </c>
      <c r="E6" s="1">
        <v>3</v>
      </c>
      <c r="F6" s="1">
        <v>3</v>
      </c>
      <c r="G6" s="5">
        <v>2</v>
      </c>
      <c r="H6" s="1">
        <v>2</v>
      </c>
      <c r="I6" s="1">
        <v>2</v>
      </c>
    </row>
    <row r="7" spans="2:9" x14ac:dyDescent="0.3">
      <c r="B7" s="1">
        <v>2</v>
      </c>
      <c r="C7" s="1">
        <v>2</v>
      </c>
      <c r="D7" s="1">
        <v>3</v>
      </c>
      <c r="E7" s="1">
        <v>3</v>
      </c>
      <c r="F7" s="4">
        <v>1</v>
      </c>
      <c r="G7" s="4">
        <v>1</v>
      </c>
      <c r="H7" s="4">
        <v>1</v>
      </c>
      <c r="I7" s="4">
        <v>1</v>
      </c>
    </row>
    <row r="8" spans="2:9" x14ac:dyDescent="0.3">
      <c r="B8" s="1">
        <v>2</v>
      </c>
      <c r="C8" s="1">
        <v>2</v>
      </c>
      <c r="D8" s="1">
        <v>2</v>
      </c>
      <c r="E8" s="2">
        <v>0</v>
      </c>
      <c r="F8" s="2">
        <v>0</v>
      </c>
      <c r="G8" s="2">
        <v>0</v>
      </c>
      <c r="H8" s="4">
        <v>1</v>
      </c>
      <c r="I8" s="4">
        <v>1</v>
      </c>
    </row>
    <row r="9" spans="2:9" x14ac:dyDescent="0.3">
      <c r="B9" s="1">
        <v>2</v>
      </c>
      <c r="C9" s="1">
        <v>2</v>
      </c>
      <c r="D9" s="4">
        <v>1</v>
      </c>
      <c r="E9" s="4">
        <v>1</v>
      </c>
      <c r="F9" s="2">
        <v>0</v>
      </c>
      <c r="G9" s="4">
        <v>1</v>
      </c>
      <c r="H9" s="1">
        <v>2</v>
      </c>
      <c r="I9" s="1">
        <v>3</v>
      </c>
    </row>
    <row r="10" spans="2:9" x14ac:dyDescent="0.3">
      <c r="B10" s="1">
        <v>3</v>
      </c>
      <c r="C10" s="1">
        <v>3</v>
      </c>
      <c r="D10" s="2">
        <v>0</v>
      </c>
      <c r="E10" s="4">
        <v>1</v>
      </c>
      <c r="F10" s="4">
        <v>1</v>
      </c>
      <c r="G10" s="2">
        <v>0</v>
      </c>
      <c r="H10" s="1">
        <v>3</v>
      </c>
      <c r="I10" s="1">
        <v>3</v>
      </c>
    </row>
    <row r="12" spans="2:9" x14ac:dyDescent="0.3">
      <c r="B12" t="s">
        <v>0</v>
      </c>
      <c r="C12" t="s">
        <v>2</v>
      </c>
      <c r="D12">
        <v>0</v>
      </c>
      <c r="E12">
        <v>1</v>
      </c>
      <c r="F12">
        <v>2</v>
      </c>
      <c r="G12">
        <v>3</v>
      </c>
      <c r="H12" t="s">
        <v>1</v>
      </c>
    </row>
    <row r="13" spans="2:9" x14ac:dyDescent="0.3">
      <c r="B13">
        <v>64</v>
      </c>
      <c r="D13">
        <f>COUNTIF($B$3:$I$10,0)</f>
        <v>15</v>
      </c>
      <c r="E13">
        <f>COUNTIF($B$3:$I$10,1)</f>
        <v>17</v>
      </c>
      <c r="F13">
        <f>COUNTIF($B$3:$I$10,2)</f>
        <v>15</v>
      </c>
      <c r="G13">
        <f>COUNTIF($B$3:$I$10,3)</f>
        <v>17</v>
      </c>
      <c r="H13">
        <f>SUM(D13:G13)</f>
        <v>64</v>
      </c>
    </row>
    <row r="14" spans="2:9" x14ac:dyDescent="0.3">
      <c r="C14" t="s">
        <v>7</v>
      </c>
      <c r="D14">
        <f xml:space="preserve"> D13*D12</f>
        <v>0</v>
      </c>
      <c r="E14">
        <f t="shared" ref="E14:G14" si="0" xml:space="preserve"> E13*E12</f>
        <v>17</v>
      </c>
      <c r="F14">
        <f t="shared" si="0"/>
        <v>30</v>
      </c>
      <c r="G14">
        <f t="shared" si="0"/>
        <v>51</v>
      </c>
    </row>
    <row r="15" spans="2:9" x14ac:dyDescent="0.3">
      <c r="C15" t="s">
        <v>3</v>
      </c>
      <c r="D15">
        <v>0</v>
      </c>
      <c r="E15">
        <f>D13/$B$13</f>
        <v>0.234375</v>
      </c>
      <c r="F15" s="3">
        <v>0.5</v>
      </c>
      <c r="G15" s="3">
        <v>0.73443749999999997</v>
      </c>
    </row>
    <row r="16" spans="2:9" x14ac:dyDescent="0.3">
      <c r="C16" t="s">
        <v>4</v>
      </c>
      <c r="D16">
        <f>SUM(A14)/$B$13</f>
        <v>0</v>
      </c>
      <c r="E16">
        <f>SUM(E13:G13)/H13</f>
        <v>0.765625</v>
      </c>
      <c r="F16" s="3">
        <f>SUM(F13:G13)/H13</f>
        <v>0.5</v>
      </c>
      <c r="G16">
        <f>17/64</f>
        <v>0.265625</v>
      </c>
    </row>
    <row r="17" spans="3:7" x14ac:dyDescent="0.3">
      <c r="C17" t="s">
        <v>5</v>
      </c>
      <c r="D17">
        <f>AVERAGE(B3:I10)</f>
        <v>1.53125</v>
      </c>
      <c r="E17">
        <v>0</v>
      </c>
      <c r="F17">
        <v>0.265625</v>
      </c>
      <c r="G17">
        <v>0.734375</v>
      </c>
    </row>
    <row r="18" spans="3:7" x14ac:dyDescent="0.3">
      <c r="C18" t="s">
        <v>6</v>
      </c>
      <c r="D18">
        <f>AVERAGE($B$3:$I$10)</f>
        <v>1.53125</v>
      </c>
      <c r="E18" s="3">
        <f>AVERAGE($B$3:$I$10)</f>
        <v>1.53125</v>
      </c>
      <c r="F18">
        <v>1.265625</v>
      </c>
      <c r="G18">
        <v>0.796875</v>
      </c>
    </row>
    <row r="19" spans="3:7" x14ac:dyDescent="0.3">
      <c r="C19" t="s">
        <v>8</v>
      </c>
      <c r="D19">
        <f>D15*D16*((D17-D18)^2)</f>
        <v>0</v>
      </c>
      <c r="E19" s="3">
        <f t="shared" ref="E19:G19" si="1">E15*E16*((E17-E18)^2)</f>
        <v>0.4207456111907959</v>
      </c>
      <c r="F19" s="3">
        <f t="shared" si="1"/>
        <v>0.25</v>
      </c>
      <c r="G19" s="3">
        <f t="shared" si="1"/>
        <v>7.6205062866210936E-4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Acer Aspire 5</cp:lastModifiedBy>
  <dcterms:created xsi:type="dcterms:W3CDTF">2025-05-27T12:42:36Z</dcterms:created>
  <dcterms:modified xsi:type="dcterms:W3CDTF">2025-05-27T13:45:47Z</dcterms:modified>
</cp:coreProperties>
</file>